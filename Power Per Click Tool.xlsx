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wer Per Click Simulator" sheetId="1" r:id="rId5"/>
    <sheet state="visible" name="Data" sheetId="2" r:id="rId6"/>
    <sheet state="visible" name="Max Power Per Click" sheetId="3" r:id="rId7"/>
  </sheets>
  <definedNames/>
  <calcPr/>
</workbook>
</file>

<file path=xl/sharedStrings.xml><?xml version="1.0" encoding="utf-8"?>
<sst xmlns="http://schemas.openxmlformats.org/spreadsheetml/2006/main" count="544" uniqueCount="246">
  <si>
    <t>Power Per Click</t>
  </si>
  <si>
    <t>F2P Progression</t>
  </si>
  <si>
    <t>P2W Progression</t>
  </si>
  <si>
    <t>Titles</t>
  </si>
  <si>
    <t>Progressions</t>
  </si>
  <si>
    <t>Easy trial Upgrades</t>
  </si>
  <si>
    <t>Tempest Upgrades</t>
  </si>
  <si>
    <t>Level</t>
  </si>
  <si>
    <t>Awakening</t>
  </si>
  <si>
    <t>Avatar</t>
  </si>
  <si>
    <t>Avatar Level</t>
  </si>
  <si>
    <t>Clicks, Trial Easy, Trial medium</t>
  </si>
  <si>
    <t>Stars Open</t>
  </si>
  <si>
    <t>Defense and tempest</t>
  </si>
  <si>
    <t>Enchant Punks</t>
  </si>
  <si>
    <t>Index</t>
  </si>
  <si>
    <t>Gamepass 2x Power</t>
  </si>
  <si>
    <t>Plausible Limit</t>
  </si>
  <si>
    <t>None</t>
  </si>
  <si>
    <t>Vip</t>
  </si>
  <si>
    <t>Not Plausible Limit</t>
  </si>
  <si>
    <t>Demon Lord</t>
  </si>
  <si>
    <t>Ussopa</t>
  </si>
  <si>
    <t>I</t>
  </si>
  <si>
    <t>Cursed Touch</t>
  </si>
  <si>
    <t>Black Sword</t>
  </si>
  <si>
    <t>Fire Fists</t>
  </si>
  <si>
    <t>II</t>
  </si>
  <si>
    <t>Arcane Sovereignty</t>
  </si>
  <si>
    <t>Acessories</t>
  </si>
  <si>
    <t>Evolve</t>
  </si>
  <si>
    <t>Multipliers</t>
  </si>
  <si>
    <t>Gacha</t>
  </si>
  <si>
    <t>Achievements</t>
  </si>
  <si>
    <t>Dual Blade</t>
  </si>
  <si>
    <t>Katakure</t>
  </si>
  <si>
    <t>III</t>
  </si>
  <si>
    <t>Nature Blessing</t>
  </si>
  <si>
    <t>Back</t>
  </si>
  <si>
    <t>Slime Wings</t>
  </si>
  <si>
    <t>Secret</t>
  </si>
  <si>
    <t>Haki</t>
  </si>
  <si>
    <t>Clicks</t>
  </si>
  <si>
    <t>X</t>
  </si>
  <si>
    <t>King of Curses</t>
  </si>
  <si>
    <t>Rogerio</t>
  </si>
  <si>
    <t>IV</t>
  </si>
  <si>
    <t>Ancestral Domain</t>
  </si>
  <si>
    <t>Body</t>
  </si>
  <si>
    <t>Volcano Cape</t>
  </si>
  <si>
    <t>Race</t>
  </si>
  <si>
    <t>Star Open</t>
  </si>
  <si>
    <t>VI</t>
  </si>
  <si>
    <t>Nika Luffe</t>
  </si>
  <si>
    <t>V</t>
  </si>
  <si>
    <t>Head</t>
  </si>
  <si>
    <t>Igros Mask</t>
  </si>
  <si>
    <t>Dragon Power</t>
  </si>
  <si>
    <t>Easy Trial</t>
  </si>
  <si>
    <t>Mr San</t>
  </si>
  <si>
    <t>Mask</t>
  </si>
  <si>
    <t>Panda Mask</t>
  </si>
  <si>
    <t>Slime Power</t>
  </si>
  <si>
    <t>Medium Trial</t>
  </si>
  <si>
    <t>San Geko</t>
  </si>
  <si>
    <t>VII</t>
  </si>
  <si>
    <t>Waist</t>
  </si>
  <si>
    <t>Sorcerer Belt</t>
  </si>
  <si>
    <t>Cursed Technique</t>
  </si>
  <si>
    <t>Defense</t>
  </si>
  <si>
    <t>XX</t>
  </si>
  <si>
    <t>Jeren</t>
  </si>
  <si>
    <t>VIII</t>
  </si>
  <si>
    <t>Total</t>
  </si>
  <si>
    <t>Cursed Spirit</t>
  </si>
  <si>
    <t>Tempest Raid</t>
  </si>
  <si>
    <t>Gegota</t>
  </si>
  <si>
    <t>IX</t>
  </si>
  <si>
    <t>Hunter Rank</t>
  </si>
  <si>
    <t>Brole</t>
  </si>
  <si>
    <t>Benymaro</t>
  </si>
  <si>
    <t>XI</t>
  </si>
  <si>
    <t>Swords</t>
  </si>
  <si>
    <t>Trial/Tempest Power Upgrades</t>
  </si>
  <si>
    <t>Skill Tree (World 2)</t>
  </si>
  <si>
    <t>Milina</t>
  </si>
  <si>
    <t>XII</t>
  </si>
  <si>
    <t>Sword 1</t>
  </si>
  <si>
    <t>Yoru</t>
  </si>
  <si>
    <t>Trial</t>
  </si>
  <si>
    <t>Start</t>
  </si>
  <si>
    <t>Diablo</t>
  </si>
  <si>
    <t>XIII</t>
  </si>
  <si>
    <t>Enchant Punk</t>
  </si>
  <si>
    <t>Tempest</t>
  </si>
  <si>
    <t>Power</t>
  </si>
  <si>
    <t>Maka</t>
  </si>
  <si>
    <t>XIV</t>
  </si>
  <si>
    <t>Sword 2</t>
  </si>
  <si>
    <t>Insane Power</t>
  </si>
  <si>
    <t>Megume</t>
  </si>
  <si>
    <t>XV</t>
  </si>
  <si>
    <t>Meguna</t>
  </si>
  <si>
    <t>XVI</t>
  </si>
  <si>
    <t>Baep</t>
  </si>
  <si>
    <t>XVII</t>
  </si>
  <si>
    <t>Cha Cha</t>
  </si>
  <si>
    <t>XVIII</t>
  </si>
  <si>
    <t>Stats</t>
  </si>
  <si>
    <t>Units</t>
  </si>
  <si>
    <t>Power Per Unit</t>
  </si>
  <si>
    <t>Monarch</t>
  </si>
  <si>
    <t>XIX</t>
  </si>
  <si>
    <t>Fighting Style</t>
  </si>
  <si>
    <t>Unit 1</t>
  </si>
  <si>
    <t>Fighters</t>
  </si>
  <si>
    <t>Kenpache</t>
  </si>
  <si>
    <t>Unit 2</t>
  </si>
  <si>
    <t>Domain</t>
  </si>
  <si>
    <t>Fighter 2</t>
  </si>
  <si>
    <t>Unit 3</t>
  </si>
  <si>
    <t>System</t>
  </si>
  <si>
    <t>Title</t>
  </si>
  <si>
    <t>Unit 4</t>
  </si>
  <si>
    <t>Unit 5</t>
  </si>
  <si>
    <t>Skill Tree (World 9)</t>
  </si>
  <si>
    <t>Unit 6</t>
  </si>
  <si>
    <t>Unit 7</t>
  </si>
  <si>
    <t>Potions</t>
  </si>
  <si>
    <t>Unit 8</t>
  </si>
  <si>
    <t>Power Potion I</t>
  </si>
  <si>
    <t>Unit 9</t>
  </si>
  <si>
    <t>Power Potion II</t>
  </si>
  <si>
    <t>Follow all Devs</t>
  </si>
  <si>
    <t>Power Potion III</t>
  </si>
  <si>
    <t>Side Quests</t>
  </si>
  <si>
    <t>Awakenings</t>
  </si>
  <si>
    <t>Avatars</t>
  </si>
  <si>
    <t>Side quests</t>
  </si>
  <si>
    <t>Trial/Tempest Upgrades</t>
  </si>
  <si>
    <t>Skill Tree</t>
  </si>
  <si>
    <t>Passive Punks</t>
  </si>
  <si>
    <t>Common</t>
  </si>
  <si>
    <t>Uncommon</t>
  </si>
  <si>
    <t>Rare</t>
  </si>
  <si>
    <t>Epic</t>
  </si>
  <si>
    <t>Legendary</t>
  </si>
  <si>
    <t>Mythical</t>
  </si>
  <si>
    <t>Levels</t>
  </si>
  <si>
    <t>Saw Blade</t>
  </si>
  <si>
    <t>Sakamote</t>
  </si>
  <si>
    <t>Easy Trials</t>
  </si>
  <si>
    <t>Medium trials</t>
  </si>
  <si>
    <t>Dragon Defense</t>
  </si>
  <si>
    <t>Admiral Cape</t>
  </si>
  <si>
    <t>Blood Scythe</t>
  </si>
  <si>
    <t>Ayanokoje</t>
  </si>
  <si>
    <t>Lostvayne</t>
  </si>
  <si>
    <t>Seika</t>
  </si>
  <si>
    <t>Saiyan Armor</t>
  </si>
  <si>
    <t>Bisento</t>
  </si>
  <si>
    <t>Jenos</t>
  </si>
  <si>
    <t>Uzue Blade</t>
  </si>
  <si>
    <t>Sankoji</t>
  </si>
  <si>
    <t>Cute Slime</t>
  </si>
  <si>
    <t>King Spear</t>
  </si>
  <si>
    <t>Fire Hat</t>
  </si>
  <si>
    <t>Oatmeel</t>
  </si>
  <si>
    <t>Skill Tree (W9)</t>
  </si>
  <si>
    <t>Rimuro Mask</t>
  </si>
  <si>
    <t>Zama Mask</t>
  </si>
  <si>
    <t>Saiyan Tail</t>
  </si>
  <si>
    <t>Dharmachakre</t>
  </si>
  <si>
    <t>admiral</t>
  </si>
  <si>
    <t>Accessory Evolve</t>
  </si>
  <si>
    <t>igros mask</t>
  </si>
  <si>
    <t>sorcerer belt</t>
  </si>
  <si>
    <t>panda mask</t>
  </si>
  <si>
    <t>volcano cape</t>
  </si>
  <si>
    <t>Max Power per click Calculator</t>
  </si>
  <si>
    <t>F2P - Plausible limit</t>
  </si>
  <si>
    <t>P2W - Plausible limit</t>
  </si>
  <si>
    <t>Note</t>
  </si>
  <si>
    <t>Multiplier</t>
  </si>
  <si>
    <t>Values</t>
  </si>
  <si>
    <t>3,448 * 10^10</t>
  </si>
  <si>
    <t>All best secret + Evolve V</t>
  </si>
  <si>
    <t>2,75^3 *2,88*3 * 1,25^5</t>
  </si>
  <si>
    <t>All best secret</t>
  </si>
  <si>
    <t>9 worlds</t>
  </si>
  <si>
    <t>1,1^9</t>
  </si>
  <si>
    <t>Cursed Tecnique</t>
  </si>
  <si>
    <t>Fighting Style (W2)</t>
  </si>
  <si>
    <t>Demon Lord (W5)</t>
  </si>
  <si>
    <t>Domain (W7)</t>
  </si>
  <si>
    <t>System (W9)</t>
  </si>
  <si>
    <t>Best sword ( Yoru)</t>
  </si>
  <si>
    <t>Best sword ( Yoru) 2x</t>
  </si>
  <si>
    <t>5 ^ 2</t>
  </si>
  <si>
    <t>1,75^2</t>
  </si>
  <si>
    <t>Best fighter (Kenpachi)</t>
  </si>
  <si>
    <t>1,5^2</t>
  </si>
  <si>
    <t>Best title (King of Curses)</t>
  </si>
  <si>
    <t>Best avatar (Monarch)</t>
  </si>
  <si>
    <t>Power potions (Huge, Big, Small)</t>
  </si>
  <si>
    <t>2,5*2 * 1,5</t>
  </si>
  <si>
    <t>All side quests</t>
  </si>
  <si>
    <t>1,5^5</t>
  </si>
  <si>
    <t>All Monarch Shiny</t>
  </si>
  <si>
    <t xml:space="preserve">12300*4 + 8200*3 </t>
  </si>
  <si>
    <t xml:space="preserve">12300*5 + 8200*4 </t>
  </si>
  <si>
    <t>Best renames</t>
  </si>
  <si>
    <t>Best passive</t>
  </si>
  <si>
    <t>Max Arise</t>
  </si>
  <si>
    <t>Almost all achievements, ignoring Tempest invasion VIII+, clicks VIII+, trial medium VIII+</t>
  </si>
  <si>
    <t xml:space="preserve"> </t>
  </si>
  <si>
    <t>Clicks (I - VIII)</t>
  </si>
  <si>
    <t>1,1 ^ 6 * 1.15^3*1,20</t>
  </si>
  <si>
    <t>Star Open (I - VI)</t>
  </si>
  <si>
    <t>1,1 ^ 6</t>
  </si>
  <si>
    <t>Easy Trial ( III and VIII)</t>
  </si>
  <si>
    <t>1,1 * 1.15</t>
  </si>
  <si>
    <t>Medium Trial (III,VIII)</t>
  </si>
  <si>
    <t>1,1*1,15</t>
  </si>
  <si>
    <t>Dragon Defense (III, VIII,XIII, XVIII)</t>
  </si>
  <si>
    <t>1,1 *1.15*1.2*1.25</t>
  </si>
  <si>
    <t>Tempest Invasion (III,VIII)</t>
  </si>
  <si>
    <t>Power upgrades</t>
  </si>
  <si>
    <t>3 * 3</t>
  </si>
  <si>
    <t>Skill tree (world 2)</t>
  </si>
  <si>
    <t>Start, Power (1-5) and insane power (1-3)</t>
  </si>
  <si>
    <t>Skill tree (world 9)</t>
  </si>
  <si>
    <t>Start, Power (I -X)</t>
  </si>
  <si>
    <t>Max its 50 but lets consider 44</t>
  </si>
  <si>
    <t>1+0,05*(50-1)</t>
  </si>
  <si>
    <t>Max (50)</t>
  </si>
  <si>
    <t>2 x Power</t>
  </si>
  <si>
    <t>On the game terms</t>
  </si>
  <si>
    <t>Not plausible limit (considering everything)</t>
  </si>
  <si>
    <t>All achievements</t>
  </si>
  <si>
    <t>Tempest Invasion (XIII, XVIII)</t>
  </si>
  <si>
    <t>1,2 *1,25</t>
  </si>
  <si>
    <t>12300*7* 1,75^3</t>
  </si>
  <si>
    <t>12300*9* 1,75^3</t>
  </si>
  <si>
    <t>Note:</t>
  </si>
  <si>
    <t>In Plausible limit its ignored all the impossible or hard power multipliers, and in the not plausible limit we consider everything on the game that gives power.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</si>
</sst>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.00E+0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Arial"/>
    </font>
    <font>
      <sz val="12.0"/>
      <color theme="1"/>
      <name val="&quot;gg sans&quot;"/>
    </font>
    <font>
      <sz val="12.0"/>
      <color theme="1"/>
      <name val="Inherit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4A86E8"/>
        <bgColor rgb="FF4A86E8"/>
      </patternFill>
    </fill>
    <fill>
      <patternFill patternType="solid">
        <fgColor rgb="FF38761D"/>
        <bgColor rgb="FF38761D"/>
      </patternFill>
    </fill>
    <fill>
      <patternFill patternType="solid">
        <fgColor rgb="FFCC4125"/>
        <bgColor rgb="FFCC4125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164" xfId="0" applyFont="1" applyNumberFormat="1"/>
    <xf borderId="0" fillId="0" fontId="1" numFmtId="10" xfId="0" applyFont="1" applyNumberFormat="1"/>
    <xf borderId="0" fillId="0" fontId="1" numFmtId="0" xfId="0" applyFont="1"/>
    <xf borderId="0" fillId="0" fontId="1" numFmtId="4" xfId="0" applyAlignment="1" applyFont="1" applyNumberFormat="1">
      <alignment readingOrder="0"/>
    </xf>
    <xf borderId="0" fillId="0" fontId="1" numFmtId="4" xfId="0" applyFont="1" applyNumberFormat="1"/>
    <xf borderId="0" fillId="0" fontId="1" numFmtId="4" xfId="0" applyAlignment="1" applyFont="1" applyNumberFormat="1">
      <alignment horizontal="center" readingOrder="0"/>
    </xf>
    <xf borderId="0" fillId="0" fontId="2" numFmtId="4" xfId="0" applyAlignment="1" applyFont="1" applyNumberFormat="1">
      <alignment horizontal="left" readingOrder="0"/>
    </xf>
    <xf borderId="0" fillId="0" fontId="3" numFmtId="4" xfId="0" applyAlignment="1" applyFont="1" applyNumberFormat="1">
      <alignment horizontal="left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readingOrder="0" shrinkToFit="0" wrapText="1"/>
    </xf>
    <xf borderId="0" fillId="2" fontId="5" numFmtId="0" xfId="0" applyAlignment="1" applyFill="1" applyFont="1">
      <alignment horizontal="center" vertical="bottom"/>
    </xf>
    <xf borderId="0" fillId="3" fontId="5" numFmtId="0" xfId="0" applyAlignment="1" applyFill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4" fontId="5" numFmtId="0" xfId="0" applyAlignment="1" applyFill="1" applyFont="1">
      <alignment vertical="bottom"/>
    </xf>
    <xf borderId="0" fillId="4" fontId="5" numFmtId="164" xfId="0" applyAlignment="1" applyFont="1" applyNumberFormat="1">
      <alignment horizontal="center" vertical="bottom"/>
    </xf>
    <xf borderId="0" fillId="4" fontId="5" numFmtId="0" xfId="0" applyAlignment="1" applyFont="1">
      <alignment horizontal="center" vertical="bottom"/>
    </xf>
    <xf borderId="0" fillId="5" fontId="5" numFmtId="0" xfId="0" applyAlignment="1" applyFill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4" fontId="5" numFmtId="0" xfId="0" applyAlignment="1" applyFont="1">
      <alignment horizontal="center" vertical="bottom"/>
    </xf>
    <xf borderId="0" fillId="6" fontId="5" numFmtId="0" xfId="0" applyAlignment="1" applyFill="1" applyFont="1">
      <alignment vertical="bottom"/>
    </xf>
    <xf borderId="0" fillId="6" fontId="5" numFmtId="0" xfId="0" applyAlignment="1" applyFont="1">
      <alignment vertical="bottom"/>
    </xf>
  </cellXfs>
  <cellStyles count="1">
    <cellStyle xfId="0" name="Normal" builtinId="0"/>
  </cellStyles>
  <dxfs count="6">
    <dxf>
      <font>
        <color rgb="FFB7B7B7"/>
      </font>
      <fill>
        <patternFill patternType="none"/>
      </fill>
      <border/>
    </dxf>
    <dxf>
      <font>
        <color rgb="FF999999"/>
      </font>
      <fill>
        <patternFill patternType="none"/>
      </fill>
      <border/>
    </dxf>
    <dxf>
      <font>
        <color theme="7"/>
      </font>
      <fill>
        <patternFill patternType="none"/>
      </fill>
      <border/>
    </dxf>
    <dxf>
      <font>
        <color theme="9"/>
      </font>
      <fill>
        <patternFill patternType="none"/>
      </fill>
      <border/>
    </dxf>
    <dxf>
      <font>
        <color rgb="FFA020F0"/>
      </font>
      <fill>
        <patternFill patternType="none"/>
      </fill>
      <border/>
    </dxf>
    <dxf>
      <font>
        <color rgb="FFFFD7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47625</xdr:colOff>
      <xdr:row>0</xdr:row>
      <xdr:rowOff>47625</xdr:rowOff>
    </xdr:from>
    <xdr:ext cx="942975" cy="581025"/>
    <xdr:sp>
      <xdr:nvSpPr>
        <xdr:cNvPr id="3" name="Shape 3"/>
        <xdr:cNvSpPr/>
      </xdr:nvSpPr>
      <xdr:spPr>
        <a:xfrm>
          <a:off x="1571125" y="1931375"/>
          <a:ext cx="2832000" cy="1771500"/>
        </a:xfrm>
        <a:prstGeom prst="roundRect">
          <a:avLst>
            <a:gd fmla="val 16667" name="adj"/>
          </a:avLst>
        </a:prstGeom>
        <a:solidFill>
          <a:srgbClr val="000000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800">
              <a:solidFill>
                <a:srgbClr val="FFFFFF"/>
              </a:solidFill>
            </a:rPr>
            <a:t>RESET</a:t>
          </a:r>
          <a:endParaRPr sz="28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8" max="8" width="14.88"/>
    <col customWidth="1" min="12" max="12" width="14.25"/>
  </cols>
  <sheetData>
    <row r="1">
      <c r="B1" s="1" t="s">
        <v>0</v>
      </c>
      <c r="C1" s="2" t="str">
        <f>FORMATAR_JOGO(TRUNC(N1,2))</f>
        <v>4,22 BB</v>
      </c>
      <c r="E1" s="3" t="s">
        <v>1</v>
      </c>
      <c r="H1" s="1" t="s">
        <v>2</v>
      </c>
      <c r="N1" s="4">
        <f>PRODUCT(E11,H13,L12,L18,H17,C19,C26,K31,H35,C30,C32) * IF(C2, 2, 1) * IF(C3, 1.25, 1)</f>
        <v>4.21737E+39</v>
      </c>
      <c r="P1" s="1" t="s">
        <v>3</v>
      </c>
      <c r="Q1" s="1" t="s">
        <v>4</v>
      </c>
      <c r="R1" s="1" t="s">
        <v>5</v>
      </c>
      <c r="S1" s="1" t="s">
        <v>6</v>
      </c>
      <c r="T1" s="1" t="s">
        <v>7</v>
      </c>
      <c r="U1" s="1" t="s">
        <v>8</v>
      </c>
      <c r="V1" s="1" t="s">
        <v>9</v>
      </c>
      <c r="W1" s="1" t="s">
        <v>10</v>
      </c>
      <c r="X1" s="1" t="s">
        <v>11</v>
      </c>
      <c r="Y1" s="1" t="s">
        <v>12</v>
      </c>
      <c r="Z1" s="1" t="s">
        <v>13</v>
      </c>
      <c r="AA1" s="1" t="s">
        <v>14</v>
      </c>
      <c r="AB1" s="1" t="s">
        <v>15</v>
      </c>
    </row>
    <row r="2">
      <c r="B2" s="1" t="s">
        <v>16</v>
      </c>
      <c r="C2" s="3" t="b">
        <v>1</v>
      </c>
      <c r="E2" s="1" t="s">
        <v>17</v>
      </c>
      <c r="F2" s="5">
        <f>N1/'Max Power Per Click'!D44</f>
        <v>73.82824944</v>
      </c>
      <c r="G2" s="6" t="str">
        <f>IFERROR(__xludf.DUMMYFUNCTION("SPARKLINE(F2, {""charttype"",""bar""; ""max"",1; ""color1"",IF(F2 &lt; 0.3, ""#f44336"", IF(F2 &lt; 0.7, ""#ffeb3b"", ""#4caf50""))})"),"")</f>
        <v/>
      </c>
      <c r="H2" s="1" t="s">
        <v>17</v>
      </c>
      <c r="I2" s="5">
        <f>N1/'Max Power Per Click'!I44</f>
        <v>1.760872533</v>
      </c>
      <c r="J2" s="6" t="str">
        <f>IFERROR(__xludf.DUMMYFUNCTION("SPARKLINE(I2, {""charttype"",""bar""; ""max"",1; ""color1"",IF(I2 &lt; 0.3, ""#f44336"", IF(I2 &lt; 0.7, ""#ffeb3b"", ""#4caf50""))})"),"")</f>
        <v/>
      </c>
      <c r="N2" s="7"/>
      <c r="P2" s="1" t="s">
        <v>18</v>
      </c>
      <c r="Q2" s="1" t="s">
        <v>18</v>
      </c>
      <c r="R2" s="1" t="s">
        <v>18</v>
      </c>
      <c r="S2" s="1" t="s">
        <v>18</v>
      </c>
      <c r="T2" s="1">
        <v>1.0</v>
      </c>
      <c r="U2" s="1">
        <v>1.0</v>
      </c>
      <c r="V2" s="1" t="s">
        <v>18</v>
      </c>
      <c r="W2" s="1" t="s">
        <v>18</v>
      </c>
      <c r="X2" s="1" t="s">
        <v>18</v>
      </c>
      <c r="Y2" s="1" t="s">
        <v>18</v>
      </c>
      <c r="Z2" s="1" t="s">
        <v>18</v>
      </c>
      <c r="AA2" s="1" t="s">
        <v>18</v>
      </c>
      <c r="AB2" s="1" t="s">
        <v>18</v>
      </c>
    </row>
    <row r="3">
      <c r="B3" s="1" t="s">
        <v>19</v>
      </c>
      <c r="C3" s="3" t="b">
        <v>1</v>
      </c>
      <c r="E3" s="1" t="s">
        <v>20</v>
      </c>
      <c r="F3" s="5">
        <f>N1/'Max Power Per Click'!D52</f>
        <v>42.18585476</v>
      </c>
      <c r="G3" s="6" t="str">
        <f>IFERROR(__xludf.DUMMYFUNCTION("SPARKLINE(F3, {""charttype"",""bar""; ""max"",1; ""color1"",IF(F3 &lt; 0.3, ""#f44336"", IF(F3 &lt; 0.7, ""#ffeb3b"", ""#4caf50""))})"),"")</f>
        <v/>
      </c>
      <c r="H3" s="1" t="s">
        <v>20</v>
      </c>
      <c r="I3" s="5">
        <f>N1/'Max Power Per Click'!I52</f>
        <v>0.9999610015</v>
      </c>
      <c r="J3" s="6" t="str">
        <f>IFERROR(__xludf.DUMMYFUNCTION("SPARKLINE(I3, {""charttype"",""bar""; ""max"",1; ""color1"",IF(I3 &lt; 0.3, ""#f44336"", IF(I3 &lt; 0.7, ""#ffeb3b"", ""#4caf50""))})"),"")</f>
        <v/>
      </c>
      <c r="P3" s="1" t="s">
        <v>21</v>
      </c>
      <c r="Q3" s="1">
        <v>1.0</v>
      </c>
      <c r="R3" s="1">
        <v>1.0</v>
      </c>
      <c r="S3" s="1">
        <v>1.0</v>
      </c>
      <c r="T3" s="1">
        <v>2.0</v>
      </c>
      <c r="U3" s="1">
        <v>2.0</v>
      </c>
      <c r="V3" s="1" t="s">
        <v>22</v>
      </c>
      <c r="W3" s="1">
        <v>1.0</v>
      </c>
      <c r="X3" s="1" t="s">
        <v>23</v>
      </c>
      <c r="Y3" s="1" t="s">
        <v>23</v>
      </c>
      <c r="Z3" s="1" t="s">
        <v>23</v>
      </c>
      <c r="AA3" s="1" t="s">
        <v>24</v>
      </c>
      <c r="AB3" s="1">
        <v>1.0</v>
      </c>
    </row>
    <row r="4">
      <c r="N4" s="4">
        <v>4.2173651030343817E39</v>
      </c>
      <c r="P4" s="1" t="s">
        <v>25</v>
      </c>
      <c r="Q4" s="1">
        <v>2.0</v>
      </c>
      <c r="R4" s="1">
        <v>2.0</v>
      </c>
      <c r="S4" s="1">
        <v>2.0</v>
      </c>
      <c r="T4" s="1">
        <v>3.0</v>
      </c>
      <c r="U4" s="1">
        <v>3.0</v>
      </c>
      <c r="V4" s="1" t="s">
        <v>26</v>
      </c>
      <c r="W4" s="1">
        <v>2.0</v>
      </c>
      <c r="X4" s="1" t="s">
        <v>27</v>
      </c>
      <c r="Y4" s="1" t="s">
        <v>27</v>
      </c>
      <c r="Z4" s="1" t="s">
        <v>27</v>
      </c>
      <c r="AA4" s="1" t="s">
        <v>28</v>
      </c>
      <c r="AB4" s="1">
        <v>2.0</v>
      </c>
    </row>
    <row r="5">
      <c r="A5" s="3" t="s">
        <v>29</v>
      </c>
      <c r="D5" s="3" t="s">
        <v>30</v>
      </c>
      <c r="E5" s="3" t="s">
        <v>31</v>
      </c>
      <c r="F5" s="3" t="s">
        <v>32</v>
      </c>
      <c r="H5" s="3" t="s">
        <v>31</v>
      </c>
      <c r="J5" s="3" t="s">
        <v>33</v>
      </c>
      <c r="L5" s="3" t="s">
        <v>31</v>
      </c>
      <c r="N5" s="3"/>
      <c r="P5" s="1" t="s">
        <v>34</v>
      </c>
      <c r="Q5" s="1">
        <v>3.0</v>
      </c>
      <c r="R5" s="1">
        <v>3.0</v>
      </c>
      <c r="S5" s="1">
        <v>3.0</v>
      </c>
      <c r="T5" s="1">
        <v>4.0</v>
      </c>
      <c r="U5" s="1">
        <v>4.0</v>
      </c>
      <c r="V5" s="1" t="s">
        <v>35</v>
      </c>
      <c r="W5" s="1">
        <v>3.0</v>
      </c>
      <c r="X5" s="1" t="s">
        <v>36</v>
      </c>
      <c r="Y5" s="1" t="s">
        <v>36</v>
      </c>
      <c r="Z5" s="1" t="s">
        <v>36</v>
      </c>
      <c r="AA5" s="1" t="s">
        <v>37</v>
      </c>
      <c r="AB5" s="1">
        <v>3.0</v>
      </c>
    </row>
    <row r="6">
      <c r="A6" s="1" t="s">
        <v>38</v>
      </c>
      <c r="B6" s="3" t="s">
        <v>39</v>
      </c>
      <c r="C6" s="3" t="s">
        <v>40</v>
      </c>
      <c r="D6" s="1">
        <v>5.0</v>
      </c>
      <c r="E6" s="6">
        <f>IF(B6="None",1,IFERROR(VLOOKUP(B6,Data!$D:$K,MATCH(C6,Data!$D$2:$K$2,0),FALSE),1)*(1+MIN(D6*0.05,0.25)))</f>
        <v>3.4375</v>
      </c>
      <c r="F6" s="1" t="s">
        <v>41</v>
      </c>
      <c r="G6" s="3" t="s">
        <v>40</v>
      </c>
      <c r="H6" s="6">
        <f>IF(G6 = "None",1,IFERROR(HLOOKUP(G6,Data!$P$2:$W$7,2,FALSE()),1))</f>
        <v>10</v>
      </c>
      <c r="J6" s="1" t="s">
        <v>42</v>
      </c>
      <c r="K6" s="3" t="s">
        <v>43</v>
      </c>
      <c r="L6" s="6">
        <f>IF(K6 = "None",1,IFERROR(VLOOKUP(K6,Data!$CD:$CJ,2,FALSE()),1))</f>
        <v>3.233187403</v>
      </c>
      <c r="P6" s="1" t="s">
        <v>44</v>
      </c>
      <c r="Q6" s="1">
        <v>4.0</v>
      </c>
      <c r="R6" s="1">
        <v>4.0</v>
      </c>
      <c r="S6" s="1">
        <v>4.0</v>
      </c>
      <c r="T6" s="1">
        <v>5.0</v>
      </c>
      <c r="U6" s="1">
        <v>5.0</v>
      </c>
      <c r="V6" s="1" t="s">
        <v>45</v>
      </c>
      <c r="W6" s="1">
        <v>4.0</v>
      </c>
      <c r="X6" s="1" t="s">
        <v>46</v>
      </c>
      <c r="Y6" s="1" t="s">
        <v>46</v>
      </c>
      <c r="Z6" s="1" t="s">
        <v>46</v>
      </c>
      <c r="AA6" s="1" t="s">
        <v>47</v>
      </c>
      <c r="AB6" s="1">
        <v>4.0</v>
      </c>
    </row>
    <row r="7">
      <c r="A7" s="1" t="s">
        <v>48</v>
      </c>
      <c r="B7" s="3" t="s">
        <v>49</v>
      </c>
      <c r="C7" s="3" t="s">
        <v>40</v>
      </c>
      <c r="D7" s="1">
        <v>5.0</v>
      </c>
      <c r="E7" s="6">
        <f>IF(B7="None",1,IFERROR(VLOOKUP(B7,Data!$D:$K,MATCH(C7,Data!$D$2:$K$2,0),FALSE),1)*(1+MIN(D7*0.05,0.25)))</f>
        <v>3.4375</v>
      </c>
      <c r="F7" s="1" t="s">
        <v>50</v>
      </c>
      <c r="G7" s="3" t="s">
        <v>40</v>
      </c>
      <c r="H7" s="6">
        <f>IF(G7 = "None",1,IFERROR(HLOOKUP(G7,Data!$P$2:$W$7,3,FALSE()),1))</f>
        <v>10</v>
      </c>
      <c r="J7" s="1" t="s">
        <v>51</v>
      </c>
      <c r="K7" s="3" t="s">
        <v>52</v>
      </c>
      <c r="L7" s="6">
        <f>IF(K7 = "None",1,IFERROR(VLOOKUP(K7,Data!$CD:$CJ,3,FALSE()),1))</f>
        <v>1.771561</v>
      </c>
      <c r="Q7" s="1">
        <v>5.0</v>
      </c>
      <c r="R7" s="1">
        <v>5.0</v>
      </c>
      <c r="S7" s="1">
        <v>5.0</v>
      </c>
      <c r="T7" s="1">
        <v>6.0</v>
      </c>
      <c r="U7" s="1">
        <v>6.0</v>
      </c>
      <c r="V7" s="1" t="s">
        <v>53</v>
      </c>
      <c r="W7" s="1">
        <v>5.0</v>
      </c>
      <c r="X7" s="1" t="s">
        <v>54</v>
      </c>
      <c r="Y7" s="1" t="s">
        <v>54</v>
      </c>
      <c r="Z7" s="1" t="s">
        <v>54</v>
      </c>
      <c r="AB7" s="1">
        <v>5.0</v>
      </c>
    </row>
    <row r="8">
      <c r="A8" s="1" t="s">
        <v>55</v>
      </c>
      <c r="B8" s="3" t="s">
        <v>56</v>
      </c>
      <c r="C8" s="3" t="s">
        <v>40</v>
      </c>
      <c r="D8" s="1">
        <v>5.0</v>
      </c>
      <c r="E8" s="6">
        <f>IF(B8="None",1,IFERROR(VLOOKUP(B8,Data!$D:$K,MATCH(C8,Data!$D$2:$K$2,0),FALSE),1)*(1+MIN(D8*0.05,0.25)))</f>
        <v>3.75</v>
      </c>
      <c r="F8" s="1" t="s">
        <v>57</v>
      </c>
      <c r="G8" s="3" t="s">
        <v>40</v>
      </c>
      <c r="H8" s="6">
        <f>IF(G8 = "None",1,IFERROR(HLOOKUP(G8,Data!$P$2:$W$7,4,FALSE()),1))</f>
        <v>4</v>
      </c>
      <c r="J8" s="1" t="s">
        <v>58</v>
      </c>
      <c r="K8" s="3" t="s">
        <v>43</v>
      </c>
      <c r="L8" s="6">
        <f>IF(K8 = "None",1,IFERROR(VLOOKUP(K8,Data!$CD:$CJ,4,FALSE()),1))</f>
        <v>1.265</v>
      </c>
      <c r="Q8" s="1">
        <v>6.0</v>
      </c>
      <c r="R8" s="1">
        <v>6.0</v>
      </c>
      <c r="S8" s="1">
        <v>6.0</v>
      </c>
      <c r="T8" s="1">
        <v>7.0</v>
      </c>
      <c r="U8" s="1">
        <v>7.0</v>
      </c>
      <c r="V8" s="1" t="s">
        <v>59</v>
      </c>
      <c r="W8" s="1">
        <v>6.0</v>
      </c>
      <c r="X8" s="1" t="s">
        <v>52</v>
      </c>
      <c r="Y8" s="1" t="s">
        <v>52</v>
      </c>
      <c r="Z8" s="1" t="s">
        <v>52</v>
      </c>
      <c r="AB8" s="1">
        <v>6.0</v>
      </c>
    </row>
    <row r="9">
      <c r="A9" s="1" t="s">
        <v>60</v>
      </c>
      <c r="B9" s="3" t="s">
        <v>61</v>
      </c>
      <c r="C9" s="3" t="s">
        <v>40</v>
      </c>
      <c r="D9" s="1">
        <v>5.0</v>
      </c>
      <c r="E9" s="6">
        <f>IF(B9="None",1,IFERROR(VLOOKUP(B9,Data!$D:$K,MATCH(C9,Data!$D$2:$K$2,0),FALSE),1)*(1+MIN(D9*0.05,0.25)))</f>
        <v>3.6</v>
      </c>
      <c r="F9" s="1" t="s">
        <v>62</v>
      </c>
      <c r="G9" s="3" t="s">
        <v>40</v>
      </c>
      <c r="H9" s="6">
        <f>IF(G9 = "None",1,IFERROR(HLOOKUP(G9,Data!$P$2:$W$7,5,FALSE()),1))</f>
        <v>10</v>
      </c>
      <c r="J9" s="1" t="s">
        <v>63</v>
      </c>
      <c r="K9" s="3" t="s">
        <v>43</v>
      </c>
      <c r="L9" s="6">
        <f>IF(K9 = "None",1,IFERROR(VLOOKUP(K9,Data!$CD:$CJ,5,FALSE()),1))</f>
        <v>1.265</v>
      </c>
      <c r="Q9" s="1">
        <v>7.0</v>
      </c>
      <c r="R9" s="1">
        <v>7.0</v>
      </c>
      <c r="S9" s="1">
        <v>7.0</v>
      </c>
      <c r="T9" s="1">
        <v>8.0</v>
      </c>
      <c r="U9" s="1">
        <v>8.0</v>
      </c>
      <c r="V9" s="1" t="s">
        <v>64</v>
      </c>
      <c r="W9" s="1">
        <v>7.0</v>
      </c>
      <c r="X9" s="1" t="s">
        <v>65</v>
      </c>
      <c r="Z9" s="1" t="s">
        <v>65</v>
      </c>
      <c r="AB9" s="1">
        <v>7.0</v>
      </c>
    </row>
    <row r="10">
      <c r="A10" s="1" t="s">
        <v>66</v>
      </c>
      <c r="B10" s="3" t="s">
        <v>67</v>
      </c>
      <c r="C10" s="3" t="s">
        <v>40</v>
      </c>
      <c r="D10" s="1">
        <v>5.0</v>
      </c>
      <c r="E10" s="6">
        <f>IF(B10="None",1,IFERROR(VLOOKUP(B10,Data!$D:$K,MATCH(C10,Data!$D$2:$K$2,0),FALSE),1)*(1+MIN(D10*0.05,0.25)))</f>
        <v>3.4375</v>
      </c>
      <c r="F10" s="1" t="s">
        <v>68</v>
      </c>
      <c r="G10" s="3" t="s">
        <v>40</v>
      </c>
      <c r="H10" s="6">
        <f>IF(G10 = "None",1,IFERROR(HLOOKUP(G10,Data!$P$2:$W$7,6,FALSE()),1))</f>
        <v>10</v>
      </c>
      <c r="J10" s="1" t="s">
        <v>69</v>
      </c>
      <c r="K10" s="3" t="s">
        <v>70</v>
      </c>
      <c r="L10" s="6">
        <f>IF(K10 = "None",1,IFERROR(VLOOKUP(K10,Data!$CD:$CJ,6,FALSE()),1))</f>
        <v>1.8975</v>
      </c>
      <c r="Q10" s="1">
        <v>8.0</v>
      </c>
      <c r="R10" s="1">
        <v>8.0</v>
      </c>
      <c r="S10" s="1">
        <v>8.0</v>
      </c>
      <c r="T10" s="1">
        <v>9.0</v>
      </c>
      <c r="U10" s="1">
        <v>9.0</v>
      </c>
      <c r="V10" s="1" t="s">
        <v>71</v>
      </c>
      <c r="W10" s="1">
        <v>8.0</v>
      </c>
      <c r="X10" s="1" t="s">
        <v>72</v>
      </c>
      <c r="Z10" s="1" t="s">
        <v>72</v>
      </c>
      <c r="AB10" s="1">
        <v>8.0</v>
      </c>
    </row>
    <row r="11">
      <c r="A11" s="1" t="s">
        <v>73</v>
      </c>
      <c r="E11" s="6">
        <f>TRUNC(PRODUCT(E6:E10),2)</f>
        <v>548.35</v>
      </c>
      <c r="F11" s="1" t="s">
        <v>74</v>
      </c>
      <c r="G11" s="3" t="s">
        <v>40</v>
      </c>
      <c r="H11" s="6">
        <f>IF(G11 = "None",1,IFERROR(HLOOKUP(G11,Data!P2:W8,7,FALSE()),1))</f>
        <v>10</v>
      </c>
      <c r="J11" s="1" t="s">
        <v>75</v>
      </c>
      <c r="K11" s="3" t="s">
        <v>70</v>
      </c>
      <c r="L11" s="6">
        <f>IF(K11 = "None",1,IFERROR(VLOOKUP(K11,Data!$CD:$CJ,7,FALSE()),1))</f>
        <v>1.8975</v>
      </c>
      <c r="Q11" s="1">
        <v>9.0</v>
      </c>
      <c r="R11" s="1">
        <v>9.0</v>
      </c>
      <c r="S11" s="1">
        <v>9.0</v>
      </c>
      <c r="T11" s="1">
        <v>10.0</v>
      </c>
      <c r="U11" s="1">
        <v>10.0</v>
      </c>
      <c r="V11" s="1" t="s">
        <v>76</v>
      </c>
      <c r="W11" s="1">
        <v>9.0</v>
      </c>
      <c r="X11" s="1" t="s">
        <v>77</v>
      </c>
      <c r="Z11" s="1" t="s">
        <v>77</v>
      </c>
      <c r="AB11" s="1">
        <v>9.0</v>
      </c>
    </row>
    <row r="12">
      <c r="F12" s="1" t="s">
        <v>78</v>
      </c>
      <c r="G12" s="3" t="s">
        <v>40</v>
      </c>
      <c r="H12" s="6">
        <f>IF(G12 = "None",1,IFERROR(HLOOKUP(G12,Data!P2:W43,7,FALSE()),1))</f>
        <v>10</v>
      </c>
      <c r="J12" s="1" t="s">
        <v>73</v>
      </c>
      <c r="L12" s="6">
        <f>TRUNC(PRODUCT(L6:L11),2)</f>
        <v>33</v>
      </c>
      <c r="Q12" s="1">
        <v>10.0</v>
      </c>
      <c r="R12" s="1">
        <v>10.0</v>
      </c>
      <c r="S12" s="1">
        <v>10.0</v>
      </c>
      <c r="T12" s="1">
        <v>11.0</v>
      </c>
      <c r="U12" s="1">
        <v>11.0</v>
      </c>
      <c r="V12" s="1" t="s">
        <v>79</v>
      </c>
      <c r="W12" s="1">
        <v>10.0</v>
      </c>
      <c r="X12" s="1" t="s">
        <v>43</v>
      </c>
      <c r="Z12" s="1" t="s">
        <v>43</v>
      </c>
    </row>
    <row r="13">
      <c r="F13" s="1" t="s">
        <v>73</v>
      </c>
      <c r="H13" s="6">
        <f>PRODUCT(H6:H12)</f>
        <v>4000000</v>
      </c>
      <c r="Q13" s="1">
        <v>11.0</v>
      </c>
      <c r="R13" s="1">
        <v>11.0</v>
      </c>
      <c r="S13" s="1">
        <v>11.0</v>
      </c>
      <c r="T13" s="1">
        <v>12.0</v>
      </c>
      <c r="U13" s="1">
        <v>12.0</v>
      </c>
      <c r="V13" s="1" t="s">
        <v>80</v>
      </c>
      <c r="W13" s="1">
        <v>11.0</v>
      </c>
      <c r="Z13" s="1" t="s">
        <v>81</v>
      </c>
    </row>
    <row r="14">
      <c r="A14" s="3" t="s">
        <v>82</v>
      </c>
      <c r="C14" s="3" t="s">
        <v>31</v>
      </c>
      <c r="F14" s="3" t="s">
        <v>83</v>
      </c>
      <c r="H14" s="3" t="s">
        <v>31</v>
      </c>
      <c r="J14" s="3" t="s">
        <v>84</v>
      </c>
      <c r="L14" s="3" t="s">
        <v>31</v>
      </c>
      <c r="N14" s="3"/>
      <c r="Q14" s="1">
        <v>12.0</v>
      </c>
      <c r="R14" s="1">
        <v>12.0</v>
      </c>
      <c r="S14" s="1">
        <v>12.0</v>
      </c>
      <c r="T14" s="1">
        <v>13.0</v>
      </c>
      <c r="U14" s="1">
        <v>13.0</v>
      </c>
      <c r="V14" s="1" t="s">
        <v>85</v>
      </c>
      <c r="W14" s="1">
        <v>12.0</v>
      </c>
      <c r="Z14" s="1" t="s">
        <v>86</v>
      </c>
    </row>
    <row r="15">
      <c r="A15" s="1" t="s">
        <v>87</v>
      </c>
      <c r="B15" s="3" t="s">
        <v>88</v>
      </c>
      <c r="C15" s="6">
        <f>IF(B15 = "None",1,IFERROR(VLOOKUP(B15,Data!$AD$2:$AE$8,2,FALSE()),1))</f>
        <v>5</v>
      </c>
      <c r="F15" s="1" t="s">
        <v>89</v>
      </c>
      <c r="G15" s="1">
        <v>20.0</v>
      </c>
      <c r="H15" s="6">
        <f>IF(G15 = "None",1,IFERROR(VLOOKUP(G15,Data!CL:CN,2,FALSE()),1))</f>
        <v>3</v>
      </c>
      <c r="J15" s="1" t="s">
        <v>90</v>
      </c>
      <c r="K15" s="3" t="b">
        <v>1</v>
      </c>
      <c r="L15" s="6">
        <f>IF(K15 = TRUE,0.05,0)</f>
        <v>0.05</v>
      </c>
      <c r="Q15" s="1">
        <v>13.0</v>
      </c>
      <c r="R15" s="1">
        <v>13.0</v>
      </c>
      <c r="S15" s="1">
        <v>13.0</v>
      </c>
      <c r="T15" s="1">
        <v>14.0</v>
      </c>
      <c r="U15" s="1">
        <v>14.0</v>
      </c>
      <c r="V15" s="1" t="s">
        <v>91</v>
      </c>
      <c r="W15" s="1">
        <v>13.0</v>
      </c>
      <c r="Z15" s="1" t="s">
        <v>92</v>
      </c>
    </row>
    <row r="16">
      <c r="A16" s="1" t="s">
        <v>93</v>
      </c>
      <c r="B16" s="1" t="s">
        <v>47</v>
      </c>
      <c r="C16" s="6">
        <f>IF(B16 = "None",1,IFERROR(VLOOKUP(B16,Data!CW:CX,2,FALSE()),1))</f>
        <v>1.75</v>
      </c>
      <c r="F16" s="1" t="s">
        <v>94</v>
      </c>
      <c r="G16" s="1">
        <v>20.0</v>
      </c>
      <c r="H16" s="6">
        <f>IF(G16 = "None",1,IFERROR(VLOOKUP(G16,Data!CL:CN,3,FALSE()),1))</f>
        <v>3</v>
      </c>
      <c r="J16" s="1" t="s">
        <v>95</v>
      </c>
      <c r="K16" s="3">
        <v>5.0</v>
      </c>
      <c r="L16" s="6">
        <f>IF(K16 = "None",0,IFERROR(VLOOKUP(K16,Data!CP:CR,2,FALSE())-1,0))</f>
        <v>0.75</v>
      </c>
      <c r="N16" s="4"/>
      <c r="Q16" s="1">
        <v>14.0</v>
      </c>
      <c r="R16" s="1">
        <v>14.0</v>
      </c>
      <c r="S16" s="1">
        <v>14.0</v>
      </c>
      <c r="T16" s="1">
        <v>15.0</v>
      </c>
      <c r="U16" s="1">
        <v>15.0</v>
      </c>
      <c r="V16" s="1" t="s">
        <v>96</v>
      </c>
      <c r="W16" s="1">
        <v>14.0</v>
      </c>
      <c r="Z16" s="1" t="s">
        <v>97</v>
      </c>
    </row>
    <row r="17">
      <c r="A17" s="1" t="s">
        <v>98</v>
      </c>
      <c r="B17" s="3" t="s">
        <v>88</v>
      </c>
      <c r="C17" s="6">
        <f>IF(B17 = "None",1,IFERROR(VLOOKUP(B17,Data!$AD$2:$AE$8,2,FALSE()),1))</f>
        <v>5</v>
      </c>
      <c r="F17" s="1" t="s">
        <v>73</v>
      </c>
      <c r="H17" s="6">
        <f>PRODUCT(H15:H16)</f>
        <v>9</v>
      </c>
      <c r="J17" s="1" t="s">
        <v>99</v>
      </c>
      <c r="K17" s="3">
        <v>3.0</v>
      </c>
      <c r="L17" s="6">
        <f>IF(K17 = "None",0,IFERROR(VLOOKUP(K17,Data!CP:CR,3,FALSE())-1,0))</f>
        <v>0.6</v>
      </c>
      <c r="N17" s="4"/>
      <c r="Q17" s="1">
        <v>15.0</v>
      </c>
      <c r="R17" s="1">
        <v>15.0</v>
      </c>
      <c r="S17" s="1">
        <v>15.0</v>
      </c>
      <c r="T17" s="1">
        <v>16.0</v>
      </c>
      <c r="U17" s="1">
        <v>16.0</v>
      </c>
      <c r="V17" s="1" t="s">
        <v>100</v>
      </c>
      <c r="W17" s="1">
        <v>15.0</v>
      </c>
      <c r="Z17" s="1" t="s">
        <v>101</v>
      </c>
    </row>
    <row r="18">
      <c r="A18" s="1" t="s">
        <v>93</v>
      </c>
      <c r="B18" s="1" t="s">
        <v>47</v>
      </c>
      <c r="C18" s="6">
        <f>IF(B18 = "None",1,IFERROR(VLOOKUP(B18,Data!CW:CX,2,FALSE()),1))</f>
        <v>1.75</v>
      </c>
      <c r="J18" s="1" t="s">
        <v>73</v>
      </c>
      <c r="L18" s="6">
        <f>SUM(L15:L17)+1</f>
        <v>2.4</v>
      </c>
      <c r="Q18" s="1">
        <v>16.0</v>
      </c>
      <c r="R18" s="1">
        <v>16.0</v>
      </c>
      <c r="S18" s="1">
        <v>16.0</v>
      </c>
      <c r="T18" s="1">
        <v>17.0</v>
      </c>
      <c r="U18" s="1">
        <v>17.0</v>
      </c>
      <c r="V18" s="1" t="s">
        <v>102</v>
      </c>
      <c r="W18" s="1">
        <v>16.0</v>
      </c>
      <c r="Z18" s="1" t="s">
        <v>103</v>
      </c>
    </row>
    <row r="19">
      <c r="A19" s="1" t="s">
        <v>73</v>
      </c>
      <c r="C19" s="6">
        <f>PRODUCT(C15:C18)</f>
        <v>76.5625</v>
      </c>
      <c r="Q19" s="1">
        <v>17.0</v>
      </c>
      <c r="R19" s="1">
        <v>17.0</v>
      </c>
      <c r="S19" s="1">
        <v>17.0</v>
      </c>
      <c r="T19" s="1">
        <v>18.0</v>
      </c>
      <c r="U19" s="1">
        <v>18.0</v>
      </c>
      <c r="V19" s="1" t="s">
        <v>104</v>
      </c>
      <c r="W19" s="1">
        <v>17.0</v>
      </c>
      <c r="Z19" s="1" t="s">
        <v>105</v>
      </c>
    </row>
    <row r="20">
      <c r="Q20" s="1">
        <v>18.0</v>
      </c>
      <c r="R20" s="1">
        <v>18.0</v>
      </c>
      <c r="S20" s="1">
        <v>18.0</v>
      </c>
      <c r="T20" s="1">
        <v>19.0</v>
      </c>
      <c r="U20" s="1">
        <v>19.0</v>
      </c>
      <c r="V20" s="1" t="s">
        <v>106</v>
      </c>
      <c r="W20" s="1">
        <v>18.0</v>
      </c>
      <c r="Z20" s="1" t="s">
        <v>107</v>
      </c>
    </row>
    <row r="21">
      <c r="A21" s="3" t="s">
        <v>4</v>
      </c>
      <c r="C21" s="3" t="s">
        <v>31</v>
      </c>
      <c r="F21" s="3" t="s">
        <v>108</v>
      </c>
      <c r="H21" s="3" t="s">
        <v>31</v>
      </c>
      <c r="J21" s="1" t="s">
        <v>109</v>
      </c>
      <c r="K21" s="3" t="s">
        <v>110</v>
      </c>
      <c r="Q21" s="1">
        <v>19.0</v>
      </c>
      <c r="R21" s="1">
        <v>19.0</v>
      </c>
      <c r="S21" s="1">
        <v>19.0</v>
      </c>
      <c r="T21" s="1">
        <v>20.0</v>
      </c>
      <c r="U21" s="1">
        <v>20.0</v>
      </c>
      <c r="V21" s="1" t="s">
        <v>111</v>
      </c>
      <c r="W21" s="1">
        <v>19.0</v>
      </c>
      <c r="Z21" s="1" t="s">
        <v>112</v>
      </c>
    </row>
    <row r="22">
      <c r="A22" s="1" t="s">
        <v>113</v>
      </c>
      <c r="B22" s="3">
        <v>100.0</v>
      </c>
      <c r="C22" s="6">
        <f>IF(B22 = "None",1,IFERROR(VLOOKUP(B22,Data!$Y:$AC,2,FALSE()),1))</f>
        <v>3</v>
      </c>
      <c r="F22" s="1" t="s">
        <v>8</v>
      </c>
      <c r="G22" s="3">
        <v>36.0</v>
      </c>
      <c r="H22" s="6">
        <f>IF(G22 = "None",1,IFERROR(VLOOKUP(G22,Data!A:B,2,FALSE()),1))</f>
        <v>34480000000</v>
      </c>
      <c r="J22" s="1" t="s">
        <v>114</v>
      </c>
      <c r="K22" s="6">
        <f t="shared" ref="K22:K30" si="1">12300*1.75^3</f>
        <v>65920.3125</v>
      </c>
      <c r="Q22" s="1">
        <v>20.0</v>
      </c>
      <c r="R22" s="1">
        <v>20.0</v>
      </c>
      <c r="S22" s="1">
        <v>20.0</v>
      </c>
      <c r="T22" s="1">
        <v>21.0</v>
      </c>
      <c r="U22" s="1">
        <v>21.0</v>
      </c>
      <c r="W22" s="1">
        <v>20.0</v>
      </c>
      <c r="Z22" s="1" t="s">
        <v>70</v>
      </c>
    </row>
    <row r="23">
      <c r="A23" s="1" t="s">
        <v>21</v>
      </c>
      <c r="B23" s="3">
        <v>100.0</v>
      </c>
      <c r="C23" s="6">
        <f>IF(B23 = "None",1,IFERROR(VLOOKUP(B23,Data!$Y:$AC,3,FALSE()),1))</f>
        <v>3.5</v>
      </c>
      <c r="F23" s="1" t="s">
        <v>115</v>
      </c>
      <c r="G23" s="3" t="s">
        <v>116</v>
      </c>
      <c r="H23" s="6">
        <f>IF(G23 = "None",1,IFERROR(VLOOKUP(G23,Data!AG:AH,2,FALSE()),1))</f>
        <v>1.5</v>
      </c>
      <c r="J23" s="1" t="s">
        <v>117</v>
      </c>
      <c r="K23" s="6">
        <f t="shared" si="1"/>
        <v>65920.3125</v>
      </c>
      <c r="Q23" s="1">
        <v>21.0</v>
      </c>
      <c r="T23" s="1">
        <v>22.0</v>
      </c>
      <c r="U23" s="1">
        <v>22.0</v>
      </c>
      <c r="W23" s="1">
        <v>21.0</v>
      </c>
    </row>
    <row r="24">
      <c r="A24" s="1" t="s">
        <v>118</v>
      </c>
      <c r="B24" s="3">
        <v>100.0</v>
      </c>
      <c r="C24" s="6">
        <f>IF(B24 = "None",1,IFERROR(VLOOKUP(B24,Data!$Y:$AC,4,FALSE()),1))</f>
        <v>3.5</v>
      </c>
      <c r="F24" s="1" t="s">
        <v>119</v>
      </c>
      <c r="G24" s="3" t="s">
        <v>116</v>
      </c>
      <c r="H24" s="6">
        <f>IF(G24 = "None",1,IFERROR(VLOOKUP(G24,Data!AG:AH,2,FALSE()),1))</f>
        <v>1.5</v>
      </c>
      <c r="J24" s="1" t="s">
        <v>120</v>
      </c>
      <c r="K24" s="6">
        <f t="shared" si="1"/>
        <v>65920.3125</v>
      </c>
      <c r="Q24" s="1">
        <v>22.0</v>
      </c>
      <c r="T24" s="1">
        <v>23.0</v>
      </c>
      <c r="U24" s="1">
        <v>23.0</v>
      </c>
      <c r="W24" s="1">
        <v>22.0</v>
      </c>
    </row>
    <row r="25">
      <c r="A25" s="1" t="s">
        <v>121</v>
      </c>
      <c r="B25" s="3">
        <v>100.0</v>
      </c>
      <c r="C25" s="6">
        <f>IF(B25 = "None",1,IFERROR(VLOOKUP(B25,Data!$Y:$AC,5,FALSE()),1))</f>
        <v>3.5</v>
      </c>
      <c r="F25" s="1" t="s">
        <v>122</v>
      </c>
      <c r="G25" s="3" t="s">
        <v>44</v>
      </c>
      <c r="H25" s="6">
        <f>IF(G25 = "None",1,IFERROR(VLOOKUP(G25,Data!AJ:AK,2,FALSE()),1))</f>
        <v>1.5</v>
      </c>
      <c r="J25" s="1" t="s">
        <v>123</v>
      </c>
      <c r="K25" s="6">
        <f t="shared" si="1"/>
        <v>65920.3125</v>
      </c>
      <c r="Q25" s="1">
        <v>23.0</v>
      </c>
      <c r="T25" s="1">
        <v>24.0</v>
      </c>
      <c r="U25" s="1">
        <v>24.0</v>
      </c>
      <c r="W25" s="1">
        <v>23.0</v>
      </c>
    </row>
    <row r="26">
      <c r="A26" s="1" t="s">
        <v>73</v>
      </c>
      <c r="C26" s="6">
        <f>PRODUCT(C22:C25)</f>
        <v>128.625</v>
      </c>
      <c r="F26" s="1" t="s">
        <v>15</v>
      </c>
      <c r="G26" s="3">
        <v>9.0</v>
      </c>
      <c r="H26" s="6">
        <f>TRUNC(IF(G26 = "None",1,IFERROR(VLOOKUP(G26,Data!M:N,2,FALSE()),1)),2)</f>
        <v>2.35</v>
      </c>
      <c r="J26" s="1" t="s">
        <v>124</v>
      </c>
      <c r="K26" s="6">
        <f t="shared" si="1"/>
        <v>65920.3125</v>
      </c>
      <c r="Q26" s="1">
        <v>24.0</v>
      </c>
      <c r="T26" s="1">
        <v>25.0</v>
      </c>
      <c r="U26" s="1">
        <v>25.0</v>
      </c>
      <c r="W26" s="1">
        <v>24.0</v>
      </c>
    </row>
    <row r="27">
      <c r="A27" s="3" t="s">
        <v>125</v>
      </c>
      <c r="C27" s="3" t="s">
        <v>31</v>
      </c>
      <c r="F27" s="1" t="s">
        <v>9</v>
      </c>
      <c r="G27" s="3" t="s">
        <v>111</v>
      </c>
      <c r="H27" s="6">
        <f>ROUND(IF(G27 = "None",1,IFERROR(VLOOKUP(G27,Data!AM:BV,G28+1,FALSE()),1)),2)</f>
        <v>645.98</v>
      </c>
      <c r="J27" s="1" t="s">
        <v>126</v>
      </c>
      <c r="K27" s="6">
        <f t="shared" si="1"/>
        <v>65920.3125</v>
      </c>
      <c r="Q27" s="1">
        <v>25.0</v>
      </c>
      <c r="T27" s="1">
        <v>26.0</v>
      </c>
      <c r="U27" s="1">
        <v>26.0</v>
      </c>
      <c r="W27" s="1">
        <v>25.0</v>
      </c>
    </row>
    <row r="28">
      <c r="A28" s="1" t="s">
        <v>90</v>
      </c>
      <c r="B28" s="3" t="b">
        <v>1</v>
      </c>
      <c r="C28" s="6">
        <f>IF(B28 = TRUE,0.1,0)</f>
        <v>0.1</v>
      </c>
      <c r="F28" s="1" t="s">
        <v>10</v>
      </c>
      <c r="G28" s="3">
        <v>35.0</v>
      </c>
      <c r="J28" s="1" t="s">
        <v>127</v>
      </c>
      <c r="K28" s="6">
        <f t="shared" si="1"/>
        <v>65920.3125</v>
      </c>
      <c r="Q28" s="1">
        <v>26.0</v>
      </c>
      <c r="T28" s="1">
        <v>27.0</v>
      </c>
      <c r="U28" s="1">
        <v>27.0</v>
      </c>
      <c r="W28" s="1">
        <v>26.0</v>
      </c>
    </row>
    <row r="29">
      <c r="A29" s="1" t="s">
        <v>95</v>
      </c>
      <c r="B29" s="3">
        <v>10.0</v>
      </c>
      <c r="C29" s="6">
        <f>IF(B29 = "None",1,IFERROR(VLOOKUP(B29,Data!CP10:CQ20,2,FALSE())-1,0))</f>
        <v>2.4</v>
      </c>
      <c r="F29" s="1" t="s">
        <v>128</v>
      </c>
      <c r="G29" s="3"/>
      <c r="J29" s="1" t="s">
        <v>129</v>
      </c>
      <c r="K29" s="6">
        <f t="shared" si="1"/>
        <v>65920.3125</v>
      </c>
      <c r="Q29" s="1">
        <v>27.0</v>
      </c>
      <c r="T29" s="1">
        <v>28.0</v>
      </c>
      <c r="U29" s="1">
        <v>28.0</v>
      </c>
      <c r="W29" s="1">
        <v>27.0</v>
      </c>
    </row>
    <row r="30">
      <c r="A30" s="1" t="s">
        <v>73</v>
      </c>
      <c r="C30" s="6">
        <f>SUM(C28:C29)+1</f>
        <v>3.5</v>
      </c>
      <c r="F30" s="1" t="s">
        <v>130</v>
      </c>
      <c r="G30" s="1" t="b">
        <v>1</v>
      </c>
      <c r="H30" s="6">
        <f>IF(G30 = TRUE,1.5,1)</f>
        <v>1.5</v>
      </c>
      <c r="J30" s="1" t="s">
        <v>131</v>
      </c>
      <c r="K30" s="6">
        <f t="shared" si="1"/>
        <v>65920.3125</v>
      </c>
      <c r="Q30" s="1">
        <v>28.0</v>
      </c>
      <c r="T30" s="1">
        <v>29.0</v>
      </c>
      <c r="U30" s="1">
        <v>29.0</v>
      </c>
      <c r="W30" s="1">
        <v>28.0</v>
      </c>
    </row>
    <row r="31">
      <c r="F31" s="1" t="s">
        <v>132</v>
      </c>
      <c r="G31" s="1" t="b">
        <v>1</v>
      </c>
      <c r="H31" s="6">
        <f>IF(G31 = TRUE,2,1)</f>
        <v>2</v>
      </c>
      <c r="J31" s="1" t="s">
        <v>73</v>
      </c>
      <c r="K31" s="6">
        <f>SUM(K22:K30)+1</f>
        <v>593283.8125</v>
      </c>
      <c r="Q31" s="1">
        <v>29.0</v>
      </c>
      <c r="T31" s="1">
        <v>30.0</v>
      </c>
      <c r="U31" s="1">
        <v>30.0</v>
      </c>
      <c r="W31" s="1">
        <v>29.0</v>
      </c>
    </row>
    <row r="32">
      <c r="A32" s="1" t="s">
        <v>133</v>
      </c>
      <c r="B32" s="3" t="b">
        <v>1</v>
      </c>
      <c r="C32" s="6">
        <f>IF(B32 = TRUE,1.15^3,1)</f>
        <v>1.520875</v>
      </c>
      <c r="F32" s="1" t="s">
        <v>134</v>
      </c>
      <c r="G32" s="1" t="b">
        <v>1</v>
      </c>
      <c r="H32" s="6">
        <f>IF(G32 = TRUE,2.5,1)</f>
        <v>2.5</v>
      </c>
      <c r="Q32" s="1">
        <v>30.0</v>
      </c>
      <c r="T32" s="1">
        <v>31.0</v>
      </c>
      <c r="U32" s="1">
        <v>31.0</v>
      </c>
      <c r="W32" s="1">
        <v>30.0</v>
      </c>
    </row>
    <row r="33">
      <c r="F33" s="1" t="s">
        <v>135</v>
      </c>
      <c r="G33" s="3">
        <v>5.0</v>
      </c>
      <c r="H33" s="6">
        <f>TRUNC(IF(G33 = "None",1,IFERROR(VLOOKUP(G33,Data!CA:CB,2,FALSE()),1)),2)</f>
        <v>7.59</v>
      </c>
      <c r="Q33" s="1">
        <v>31.0</v>
      </c>
      <c r="T33" s="1">
        <v>32.0</v>
      </c>
      <c r="U33" s="1">
        <v>32.0</v>
      </c>
      <c r="W33" s="1">
        <v>31.0</v>
      </c>
    </row>
    <row r="34">
      <c r="F34" s="1" t="s">
        <v>7</v>
      </c>
      <c r="G34" s="3">
        <v>50.0</v>
      </c>
      <c r="H34" s="6">
        <f>IF(G34 = "None",1,IFERROR(VLOOKUP(G34,Data!CT:CU,2,FALSE()),1))</f>
        <v>3.45</v>
      </c>
      <c r="Q34" s="1">
        <v>32.0</v>
      </c>
      <c r="T34" s="1">
        <v>33.0</v>
      </c>
      <c r="U34" s="1">
        <v>33.0</v>
      </c>
      <c r="W34" s="1">
        <v>32.0</v>
      </c>
    </row>
    <row r="35">
      <c r="F35" s="1" t="s">
        <v>73</v>
      </c>
      <c r="H35" s="6">
        <f>PRODUCT(H22:H34)</f>
        <v>3.46937E+16</v>
      </c>
      <c r="Q35" s="1">
        <v>33.0</v>
      </c>
      <c r="T35" s="1">
        <v>34.0</v>
      </c>
      <c r="U35" s="1">
        <v>34.0</v>
      </c>
      <c r="W35" s="1">
        <v>33.0</v>
      </c>
    </row>
    <row r="36">
      <c r="Q36" s="1">
        <v>34.0</v>
      </c>
      <c r="T36" s="1">
        <v>35.0</v>
      </c>
      <c r="U36" s="1">
        <v>35.0</v>
      </c>
      <c r="W36" s="1">
        <v>34.0</v>
      </c>
    </row>
    <row r="37">
      <c r="Q37" s="1">
        <v>35.0</v>
      </c>
      <c r="T37" s="1">
        <v>36.0</v>
      </c>
      <c r="U37" s="1">
        <v>36.0</v>
      </c>
      <c r="W37" s="1">
        <v>35.0</v>
      </c>
    </row>
    <row r="38">
      <c r="Q38" s="1">
        <v>36.0</v>
      </c>
      <c r="T38" s="1">
        <v>37.0</v>
      </c>
    </row>
    <row r="39">
      <c r="Q39" s="1">
        <v>37.0</v>
      </c>
      <c r="T39" s="1">
        <v>38.0</v>
      </c>
    </row>
    <row r="40">
      <c r="Q40" s="1">
        <v>38.0</v>
      </c>
      <c r="T40" s="1">
        <v>39.0</v>
      </c>
    </row>
    <row r="41">
      <c r="Q41" s="1">
        <v>39.0</v>
      </c>
      <c r="T41" s="1">
        <v>40.0</v>
      </c>
    </row>
    <row r="42">
      <c r="Q42" s="1">
        <v>40.0</v>
      </c>
      <c r="T42" s="1">
        <v>41.0</v>
      </c>
    </row>
    <row r="43">
      <c r="Q43" s="1">
        <v>41.0</v>
      </c>
      <c r="T43" s="1">
        <v>42.0</v>
      </c>
    </row>
    <row r="44">
      <c r="Q44" s="1">
        <v>42.0</v>
      </c>
      <c r="T44" s="1">
        <v>43.0</v>
      </c>
    </row>
    <row r="45">
      <c r="Q45" s="1">
        <v>43.0</v>
      </c>
      <c r="T45" s="1">
        <v>44.0</v>
      </c>
    </row>
    <row r="46">
      <c r="Q46" s="1">
        <v>44.0</v>
      </c>
      <c r="T46" s="1">
        <v>45.0</v>
      </c>
    </row>
    <row r="47">
      <c r="Q47" s="1">
        <v>45.0</v>
      </c>
      <c r="T47" s="1">
        <v>46.0</v>
      </c>
    </row>
    <row r="48">
      <c r="Q48" s="1">
        <v>46.0</v>
      </c>
      <c r="T48" s="1">
        <v>47.0</v>
      </c>
    </row>
    <row r="49">
      <c r="Q49" s="1">
        <v>47.0</v>
      </c>
      <c r="T49" s="1">
        <v>48.0</v>
      </c>
    </row>
    <row r="50">
      <c r="Q50" s="1">
        <v>48.0</v>
      </c>
      <c r="T50" s="1">
        <v>49.0</v>
      </c>
    </row>
    <row r="51">
      <c r="Q51" s="1">
        <v>49.0</v>
      </c>
      <c r="T51" s="1">
        <v>50.0</v>
      </c>
    </row>
    <row r="52">
      <c r="Q52" s="1">
        <v>50.0</v>
      </c>
    </row>
    <row r="53">
      <c r="Q53" s="1">
        <v>51.0</v>
      </c>
    </row>
    <row r="54">
      <c r="Q54" s="1">
        <v>52.0</v>
      </c>
    </row>
    <row r="55">
      <c r="Q55" s="1">
        <v>53.0</v>
      </c>
    </row>
    <row r="56">
      <c r="Q56" s="1">
        <v>54.0</v>
      </c>
    </row>
    <row r="57">
      <c r="Q57" s="1">
        <v>55.0</v>
      </c>
    </row>
    <row r="58">
      <c r="Q58" s="1">
        <v>56.0</v>
      </c>
    </row>
    <row r="59">
      <c r="Q59" s="1">
        <v>57.0</v>
      </c>
    </row>
    <row r="60">
      <c r="Q60" s="1">
        <v>58.0</v>
      </c>
    </row>
    <row r="61">
      <c r="Q61" s="1">
        <v>59.0</v>
      </c>
    </row>
    <row r="62">
      <c r="Q62" s="1">
        <v>60.0</v>
      </c>
    </row>
    <row r="63">
      <c r="Q63" s="1">
        <v>61.0</v>
      </c>
    </row>
    <row r="64">
      <c r="Q64" s="1">
        <v>62.0</v>
      </c>
    </row>
    <row r="65">
      <c r="Q65" s="1">
        <v>63.0</v>
      </c>
    </row>
    <row r="66">
      <c r="Q66" s="1">
        <v>64.0</v>
      </c>
    </row>
    <row r="67">
      <c r="Q67" s="1">
        <v>65.0</v>
      </c>
    </row>
    <row r="68">
      <c r="Q68" s="1">
        <v>66.0</v>
      </c>
    </row>
    <row r="69">
      <c r="Q69" s="1">
        <v>67.0</v>
      </c>
    </row>
    <row r="70">
      <c r="Q70" s="1">
        <v>68.0</v>
      </c>
    </row>
    <row r="71">
      <c r="Q71" s="1">
        <v>69.0</v>
      </c>
    </row>
    <row r="72">
      <c r="Q72" s="1">
        <v>70.0</v>
      </c>
    </row>
    <row r="73">
      <c r="Q73" s="1">
        <v>71.0</v>
      </c>
    </row>
    <row r="74">
      <c r="Q74" s="1">
        <v>72.0</v>
      </c>
    </row>
    <row r="75">
      <c r="Q75" s="1">
        <v>73.0</v>
      </c>
    </row>
    <row r="76">
      <c r="Q76" s="1">
        <v>74.0</v>
      </c>
    </row>
    <row r="77">
      <c r="Q77" s="1">
        <v>75.0</v>
      </c>
    </row>
    <row r="78">
      <c r="Q78" s="1">
        <v>76.0</v>
      </c>
    </row>
    <row r="79">
      <c r="Q79" s="1">
        <v>77.0</v>
      </c>
    </row>
    <row r="80">
      <c r="Q80" s="1">
        <v>78.0</v>
      </c>
    </row>
    <row r="81">
      <c r="Q81" s="1">
        <v>79.0</v>
      </c>
    </row>
    <row r="82">
      <c r="Q82" s="1">
        <v>80.0</v>
      </c>
    </row>
    <row r="83">
      <c r="Q83" s="1">
        <v>81.0</v>
      </c>
    </row>
    <row r="84">
      <c r="Q84" s="1">
        <v>82.0</v>
      </c>
    </row>
    <row r="85">
      <c r="Q85" s="1">
        <v>83.0</v>
      </c>
    </row>
    <row r="86">
      <c r="Q86" s="1">
        <v>84.0</v>
      </c>
    </row>
    <row r="87">
      <c r="Q87" s="1">
        <v>85.0</v>
      </c>
    </row>
    <row r="88">
      <c r="Q88" s="1">
        <v>86.0</v>
      </c>
    </row>
    <row r="89">
      <c r="Q89" s="1">
        <v>87.0</v>
      </c>
    </row>
    <row r="90">
      <c r="Q90" s="1">
        <v>88.0</v>
      </c>
    </row>
    <row r="91">
      <c r="Q91" s="1">
        <v>89.0</v>
      </c>
    </row>
    <row r="92">
      <c r="Q92" s="1">
        <v>90.0</v>
      </c>
    </row>
    <row r="93">
      <c r="Q93" s="1">
        <v>91.0</v>
      </c>
    </row>
    <row r="94">
      <c r="Q94" s="1">
        <v>92.0</v>
      </c>
    </row>
    <row r="95">
      <c r="Q95" s="1">
        <v>93.0</v>
      </c>
    </row>
    <row r="96">
      <c r="Q96" s="1">
        <v>94.0</v>
      </c>
    </row>
    <row r="97">
      <c r="Q97" s="1">
        <v>95.0</v>
      </c>
    </row>
    <row r="98">
      <c r="Q98" s="1">
        <v>96.0</v>
      </c>
    </row>
    <row r="99">
      <c r="Q99" s="1">
        <v>97.0</v>
      </c>
    </row>
    <row r="100">
      <c r="Q100" s="1">
        <v>98.0</v>
      </c>
    </row>
    <row r="101">
      <c r="Q101" s="1">
        <v>99.0</v>
      </c>
    </row>
    <row r="102">
      <c r="Q102" s="1">
        <v>100.0</v>
      </c>
    </row>
  </sheetData>
  <mergeCells count="11">
    <mergeCell ref="A14:B14"/>
    <mergeCell ref="A21:B21"/>
    <mergeCell ref="F21:G21"/>
    <mergeCell ref="A27:B27"/>
    <mergeCell ref="E1:F1"/>
    <mergeCell ref="H1:I1"/>
    <mergeCell ref="A5:C5"/>
    <mergeCell ref="F5:G5"/>
    <mergeCell ref="J5:K5"/>
    <mergeCell ref="F14:G14"/>
    <mergeCell ref="J14:K14"/>
  </mergeCells>
  <conditionalFormatting sqref="C1">
    <cfRule type="endsWith" dxfId="0" priority="1" operator="endsWith" text="B">
      <formula>RIGHT((C1),LEN("B"))=("B")</formula>
    </cfRule>
  </conditionalFormatting>
  <conditionalFormatting sqref="C1">
    <cfRule type="endsWith" dxfId="1" priority="2" operator="endsWith" text="T">
      <formula>RIGHT((C1),LEN("T"))=("T")</formula>
    </cfRule>
  </conditionalFormatting>
  <conditionalFormatting sqref="C1">
    <cfRule type="endsWith" dxfId="2" priority="3" operator="endsWith" text="Qa">
      <formula>RIGHT((C1),LEN("Qa"))=("Qa")</formula>
    </cfRule>
  </conditionalFormatting>
  <conditionalFormatting sqref="C1">
    <cfRule type="endsWith" dxfId="2" priority="4" operator="endsWith" text="Qn">
      <formula>RIGHT((C1),LEN("Qn"))=("Qn")</formula>
    </cfRule>
  </conditionalFormatting>
  <conditionalFormatting sqref="C1">
    <cfRule type="endsWith" dxfId="3" priority="5" operator="endsWith" text="Sx">
      <formula>RIGHT((C1),LEN("Sx"))=("Sx")</formula>
    </cfRule>
  </conditionalFormatting>
  <conditionalFormatting sqref="C1">
    <cfRule type="endsWith" dxfId="3" priority="6" operator="endsWith" text="Sp">
      <formula>RIGHT((C1),LEN("Sp"))=("Sp")</formula>
    </cfRule>
  </conditionalFormatting>
  <conditionalFormatting sqref="C1">
    <cfRule type="endsWith" dxfId="4" priority="7" operator="endsWith" text="Oc">
      <formula>RIGHT((C1),LEN("Oc"))=("Oc")</formula>
    </cfRule>
  </conditionalFormatting>
  <conditionalFormatting sqref="C1">
    <cfRule type="endsWith" dxfId="4" priority="8" operator="endsWith" text="No">
      <formula>RIGHT((C1),LEN("No"))=("No")</formula>
    </cfRule>
  </conditionalFormatting>
  <conditionalFormatting sqref="C1">
    <cfRule type="endsWith" dxfId="5" priority="9" operator="endsWith" text="De">
      <formula>RIGHT((C1),LEN("De"))=("De")</formula>
    </cfRule>
  </conditionalFormatting>
  <conditionalFormatting sqref="C1">
    <cfRule type="endsWith" dxfId="5" priority="10" operator="endsWith" text="Ud">
      <formula>RIGHT((C1),LEN("Ud"))=("Ud")</formula>
    </cfRule>
  </conditionalFormatting>
  <dataValidations>
    <dataValidation type="list" allowBlank="1" showErrorMessage="1" sqref="G28">
      <formula1>'Power Per Click Simulator'!$W$2:$W$1000</formula1>
    </dataValidation>
    <dataValidation type="list" allowBlank="1" showErrorMessage="1" sqref="B7">
      <formula1>"None,Saiyan Armor,Volcano Cape"</formula1>
    </dataValidation>
    <dataValidation type="list" allowBlank="1" showErrorMessage="1" sqref="B9">
      <formula1>"None,Oatmeel,Rimuro Mask,Zama Mask,Panda Mask"</formula1>
    </dataValidation>
    <dataValidation type="list" allowBlank="1" showErrorMessage="1" sqref="G34">
      <formula1>'Power Per Click Simulator'!$T$2:$T$51</formula1>
    </dataValidation>
    <dataValidation type="list" allowBlank="1" showErrorMessage="1" sqref="B15 B17">
      <formula1>"None,Saw Blade,Blood Scythe,Lostvayne,Bisento,Uzue Blade,King Spear,Yoru"</formula1>
    </dataValidation>
    <dataValidation type="list" allowBlank="1" showErrorMessage="1" sqref="G27">
      <formula1>'Power Per Click Simulator'!$V$2:$V$1000</formula1>
    </dataValidation>
    <dataValidation type="list" allowBlank="1" showErrorMessage="1" sqref="K7">
      <formula1>'Power Per Click Simulator'!$Y$2:$Y$1000</formula1>
    </dataValidation>
    <dataValidation type="list" allowBlank="1" showErrorMessage="1" sqref="B6">
      <formula1>"None,Admiral Cape,Slime Wings"</formula1>
    </dataValidation>
    <dataValidation type="list" allowBlank="1" showErrorMessage="1" sqref="B29">
      <formula1>"None,1,2,3,4,5,6,7,8,9,10"</formula1>
    </dataValidation>
    <dataValidation type="list" allowBlank="1" showErrorMessage="1" sqref="G26">
      <formula1>'Power Per Click Simulator'!$AB$2:$AB$1000</formula1>
    </dataValidation>
    <dataValidation type="list" allowBlank="1" showErrorMessage="1" sqref="B22">
      <formula1>'Power Per Click Simulator'!$Q$2:$Q$1000</formula1>
    </dataValidation>
    <dataValidation type="list" allowBlank="1" showErrorMessage="1" sqref="C6:C10 G6:G12">
      <formula1>"None,Common,Uncommon,Rare,Epic,Legendary,Mythical,Secret"</formula1>
    </dataValidation>
    <dataValidation type="list" allowBlank="1" showErrorMessage="1" sqref="B10">
      <formula1>"None,Sorcerer Belt,Saiyan Tail"</formula1>
    </dataValidation>
    <dataValidation type="list" allowBlank="1" showErrorMessage="1" sqref="D6:D10 G33">
      <formula1>"0,1,2,3,4,5"</formula1>
    </dataValidation>
    <dataValidation type="list" allowBlank="1" showErrorMessage="1" sqref="G25">
      <formula1>'Power Per Click Simulator'!$P$2:$P$1000</formula1>
    </dataValidation>
    <dataValidation type="list" allowBlank="1" showErrorMessage="1" sqref="K6 K8:K9">
      <formula1>'Power Per Click Simulator'!$X$2:$X$12</formula1>
    </dataValidation>
    <dataValidation type="list" allowBlank="1" showErrorMessage="1" sqref="K16">
      <formula1>"None,1,2,3,4,5"</formula1>
    </dataValidation>
    <dataValidation type="list" allowBlank="1" showErrorMessage="1" sqref="G16">
      <formula1>'Power Per Click Simulator'!$S$2:$S$1000</formula1>
    </dataValidation>
    <dataValidation type="list" allowBlank="1" showErrorMessage="1" sqref="B16 B18">
      <formula1>'Power Per Click Simulator'!$AA$2:$AA$6</formula1>
    </dataValidation>
    <dataValidation type="list" allowBlank="1" showErrorMessage="1" sqref="B8">
      <formula1>"None,Fire Hat,Cute Slime,Dharmachakre,Igros Mask"</formula1>
    </dataValidation>
    <dataValidation type="list" allowBlank="1" showErrorMessage="1" sqref="K17">
      <formula1>"None,1,2,3"</formula1>
    </dataValidation>
    <dataValidation type="list" allowBlank="1" showErrorMessage="1" sqref="G22">
      <formula1>'Power Per Click Simulator'!$U$2:$U$1000</formula1>
    </dataValidation>
    <dataValidation type="list" allowBlank="1" showErrorMessage="1" sqref="G15">
      <formula1>'Power Per Click Simulator'!$R$2:$R$1000</formula1>
    </dataValidation>
    <dataValidation type="list" allowBlank="1" showErrorMessage="1" sqref="B23:B25">
      <formula1>'Power Per Click Simulator'!$Q$2:$Q$102</formula1>
    </dataValidation>
    <dataValidation type="list" allowBlank="1" showErrorMessage="1" sqref="K10:K11">
      <formula1>'Power Per Click Simulator'!$Z$2:$Z$22</formula1>
    </dataValidation>
    <dataValidation type="list" allowBlank="1" showErrorMessage="1" sqref="G23:G24">
      <formula1>"None,Sakamote,Ayanokoje,Seika,Jenos,Sankoji,Power,Kenpache"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6" max="39" width="14.13"/>
    <col customWidth="1" min="40" max="74" width="5.38"/>
    <col customWidth="1" min="75" max="105" width="14.13"/>
  </cols>
  <sheetData>
    <row r="1">
      <c r="A1" s="3" t="s">
        <v>136</v>
      </c>
      <c r="D1" s="3" t="s">
        <v>29</v>
      </c>
      <c r="M1" s="3" t="s">
        <v>15</v>
      </c>
      <c r="P1" s="3" t="s">
        <v>32</v>
      </c>
      <c r="Y1" s="3" t="s">
        <v>4</v>
      </c>
      <c r="AD1" s="3" t="s">
        <v>82</v>
      </c>
      <c r="AG1" s="3" t="s">
        <v>115</v>
      </c>
      <c r="AJ1" s="3" t="s">
        <v>122</v>
      </c>
      <c r="AM1" s="3" t="s">
        <v>137</v>
      </c>
      <c r="BM1" s="3"/>
      <c r="BN1" s="3"/>
      <c r="BO1" s="3"/>
      <c r="BP1" s="3"/>
      <c r="BQ1" s="3"/>
      <c r="BR1" s="3"/>
      <c r="BS1" s="3"/>
      <c r="BT1" s="3"/>
      <c r="BU1" s="3"/>
      <c r="BV1" s="3"/>
      <c r="BX1" s="3" t="s">
        <v>128</v>
      </c>
      <c r="CA1" s="1" t="s">
        <v>138</v>
      </c>
      <c r="CD1" s="3" t="s">
        <v>33</v>
      </c>
      <c r="CL1" s="3" t="s">
        <v>139</v>
      </c>
      <c r="CP1" s="3" t="s">
        <v>140</v>
      </c>
      <c r="CT1" s="3" t="s">
        <v>7</v>
      </c>
      <c r="CV1" s="3"/>
      <c r="CW1" s="3" t="s">
        <v>141</v>
      </c>
    </row>
    <row r="2">
      <c r="A2" s="1">
        <v>1.0</v>
      </c>
      <c r="B2" s="1">
        <v>1.0</v>
      </c>
      <c r="E2" s="1" t="s">
        <v>142</v>
      </c>
      <c r="F2" s="1" t="s">
        <v>143</v>
      </c>
      <c r="G2" s="1" t="s">
        <v>144</v>
      </c>
      <c r="H2" s="1" t="s">
        <v>145</v>
      </c>
      <c r="I2" s="1" t="s">
        <v>146</v>
      </c>
      <c r="J2" s="1" t="s">
        <v>147</v>
      </c>
      <c r="K2" s="1" t="s">
        <v>40</v>
      </c>
      <c r="M2" s="1">
        <v>1.0</v>
      </c>
      <c r="N2" s="6">
        <f>1.1</f>
        <v>1.1</v>
      </c>
      <c r="Q2" s="1" t="s">
        <v>142</v>
      </c>
      <c r="R2" s="1" t="s">
        <v>143</v>
      </c>
      <c r="S2" s="1" t="s">
        <v>144</v>
      </c>
      <c r="T2" s="1" t="s">
        <v>145</v>
      </c>
      <c r="U2" s="1" t="s">
        <v>146</v>
      </c>
      <c r="V2" s="1" t="s">
        <v>147</v>
      </c>
      <c r="W2" s="1" t="s">
        <v>40</v>
      </c>
      <c r="Y2" s="1" t="s">
        <v>148</v>
      </c>
      <c r="Z2" s="3" t="s">
        <v>113</v>
      </c>
      <c r="AA2" s="3" t="s">
        <v>21</v>
      </c>
      <c r="AB2" s="3" t="s">
        <v>118</v>
      </c>
      <c r="AC2" s="1" t="s">
        <v>121</v>
      </c>
      <c r="AD2" s="1" t="s">
        <v>149</v>
      </c>
      <c r="AE2" s="1">
        <v>1.15</v>
      </c>
      <c r="AG2" s="1" t="s">
        <v>150</v>
      </c>
      <c r="AH2" s="1">
        <v>1.0</v>
      </c>
      <c r="AJ2" s="1" t="s">
        <v>21</v>
      </c>
      <c r="AK2" s="1">
        <v>1.15</v>
      </c>
      <c r="AM2" s="1"/>
      <c r="AN2" s="1">
        <v>1.0</v>
      </c>
      <c r="AO2" s="1">
        <v>2.0</v>
      </c>
      <c r="AP2" s="1">
        <v>3.0</v>
      </c>
      <c r="AQ2" s="1">
        <v>4.0</v>
      </c>
      <c r="AR2" s="1">
        <v>5.0</v>
      </c>
      <c r="AS2" s="1">
        <v>6.0</v>
      </c>
      <c r="AT2" s="1">
        <v>7.0</v>
      </c>
      <c r="AU2" s="1">
        <v>8.0</v>
      </c>
      <c r="AV2" s="1">
        <v>9.0</v>
      </c>
      <c r="AW2" s="1">
        <v>10.0</v>
      </c>
      <c r="AX2" s="1">
        <v>11.0</v>
      </c>
      <c r="AY2" s="1">
        <v>12.0</v>
      </c>
      <c r="AZ2" s="1">
        <v>13.0</v>
      </c>
      <c r="BA2" s="1">
        <v>14.0</v>
      </c>
      <c r="BB2" s="1">
        <v>15.0</v>
      </c>
      <c r="BC2" s="1">
        <v>16.0</v>
      </c>
      <c r="BD2" s="1">
        <v>17.0</v>
      </c>
      <c r="BE2" s="1">
        <v>18.0</v>
      </c>
      <c r="BF2" s="1">
        <v>19.0</v>
      </c>
      <c r="BG2" s="1">
        <v>20.0</v>
      </c>
      <c r="BH2" s="1">
        <v>21.0</v>
      </c>
      <c r="BI2" s="1">
        <v>22.0</v>
      </c>
      <c r="BJ2" s="1">
        <v>23.0</v>
      </c>
      <c r="BK2" s="1">
        <v>24.0</v>
      </c>
      <c r="BL2" s="1">
        <v>25.0</v>
      </c>
      <c r="BM2" s="1">
        <v>26.0</v>
      </c>
      <c r="BN2" s="1">
        <v>27.0</v>
      </c>
      <c r="BO2" s="1">
        <v>28.0</v>
      </c>
      <c r="BP2" s="1">
        <v>29.0</v>
      </c>
      <c r="BQ2" s="1">
        <v>30.0</v>
      </c>
      <c r="BR2" s="1">
        <v>31.0</v>
      </c>
      <c r="BS2" s="1">
        <v>32.0</v>
      </c>
      <c r="BT2" s="1">
        <v>33.0</v>
      </c>
      <c r="BU2" s="1">
        <v>34.0</v>
      </c>
      <c r="BV2" s="1">
        <v>35.0</v>
      </c>
      <c r="BX2" s="1" t="s">
        <v>130</v>
      </c>
      <c r="BY2" s="1">
        <v>1.5</v>
      </c>
      <c r="CA2" s="1">
        <v>1.0</v>
      </c>
      <c r="CB2" s="6">
        <f>1.5</f>
        <v>1.5</v>
      </c>
      <c r="CD2" s="1" t="s">
        <v>7</v>
      </c>
      <c r="CE2" s="1" t="s">
        <v>42</v>
      </c>
      <c r="CF2" s="3" t="s">
        <v>12</v>
      </c>
      <c r="CG2" s="3" t="s">
        <v>151</v>
      </c>
      <c r="CH2" s="3" t="s">
        <v>152</v>
      </c>
      <c r="CI2" s="3" t="s">
        <v>153</v>
      </c>
      <c r="CJ2" s="3" t="s">
        <v>75</v>
      </c>
      <c r="CL2" s="1" t="s">
        <v>148</v>
      </c>
      <c r="CM2" s="3" t="s">
        <v>89</v>
      </c>
      <c r="CN2" s="3" t="s">
        <v>94</v>
      </c>
      <c r="CP2" s="1" t="s">
        <v>148</v>
      </c>
      <c r="CQ2" s="3" t="s">
        <v>95</v>
      </c>
      <c r="CR2" s="3" t="s">
        <v>99</v>
      </c>
      <c r="CT2" s="1">
        <v>1.0</v>
      </c>
      <c r="CU2" s="1">
        <v>1.0</v>
      </c>
      <c r="CV2" s="1"/>
      <c r="CW2" s="1" t="s">
        <v>24</v>
      </c>
      <c r="CX2" s="1">
        <v>1.25</v>
      </c>
    </row>
    <row r="3">
      <c r="A3" s="1">
        <v>2.0</v>
      </c>
      <c r="B3" s="1">
        <v>1.5</v>
      </c>
      <c r="D3" s="1" t="s">
        <v>154</v>
      </c>
      <c r="E3" s="1">
        <v>1.05</v>
      </c>
      <c r="F3" s="1">
        <v>1.16</v>
      </c>
      <c r="G3" s="1">
        <v>1.31</v>
      </c>
      <c r="H3" s="1">
        <v>1.47</v>
      </c>
      <c r="I3" s="1">
        <v>1.68</v>
      </c>
      <c r="J3" s="1">
        <v>1.94</v>
      </c>
      <c r="K3" s="1">
        <v>2.63</v>
      </c>
      <c r="M3" s="1">
        <v>2.0</v>
      </c>
      <c r="N3" s="6">
        <f t="shared" ref="N3:N10" si="1">N2*1.1</f>
        <v>1.21</v>
      </c>
      <c r="P3" s="1" t="s">
        <v>41</v>
      </c>
      <c r="Q3" s="1">
        <v>1.1</v>
      </c>
      <c r="R3" s="1">
        <v>1.25</v>
      </c>
      <c r="S3" s="1">
        <v>1.5</v>
      </c>
      <c r="T3" s="1">
        <v>2.0</v>
      </c>
      <c r="U3" s="1">
        <v>3.5</v>
      </c>
      <c r="V3" s="1">
        <v>5.0</v>
      </c>
      <c r="W3" s="1">
        <v>10.0</v>
      </c>
      <c r="Y3" s="1">
        <v>1.0</v>
      </c>
      <c r="Z3" s="6">
        <f>1.02</f>
        <v>1.02</v>
      </c>
      <c r="AA3" s="1">
        <v>1.02</v>
      </c>
      <c r="AB3" s="1">
        <v>1.02</v>
      </c>
      <c r="AC3" s="1">
        <v>1.02</v>
      </c>
      <c r="AD3" s="1" t="s">
        <v>155</v>
      </c>
      <c r="AE3" s="1">
        <v>1.25</v>
      </c>
      <c r="AG3" s="1" t="s">
        <v>156</v>
      </c>
      <c r="AH3" s="1">
        <v>1.0</v>
      </c>
      <c r="AJ3" s="1" t="s">
        <v>25</v>
      </c>
      <c r="AK3" s="1">
        <v>1.2</v>
      </c>
      <c r="AM3" s="1" t="s">
        <v>22</v>
      </c>
      <c r="AN3" s="1">
        <v>1.25</v>
      </c>
      <c r="AO3" s="8">
        <v>1.34</v>
      </c>
      <c r="AP3" s="8">
        <v>1.44</v>
      </c>
      <c r="AQ3" s="8">
        <v>1.55</v>
      </c>
      <c r="AR3" s="8">
        <v>1.66</v>
      </c>
      <c r="AS3" s="8">
        <v>1.79</v>
      </c>
      <c r="AT3" s="8">
        <v>1.92</v>
      </c>
      <c r="AU3" s="8">
        <v>2.07</v>
      </c>
      <c r="AV3" s="8">
        <v>2.22</v>
      </c>
      <c r="AW3" s="8">
        <v>2.39</v>
      </c>
      <c r="AX3" s="8">
        <v>2.57</v>
      </c>
      <c r="AY3" s="8">
        <v>2.76</v>
      </c>
      <c r="AZ3" s="8">
        <v>2.97</v>
      </c>
      <c r="BA3" s="8">
        <v>3.19</v>
      </c>
      <c r="BB3" s="8">
        <v>3.43</v>
      </c>
      <c r="BC3" s="8">
        <v>3.69</v>
      </c>
      <c r="BD3" s="8">
        <v>3.96</v>
      </c>
      <c r="BE3" s="8">
        <v>4.26</v>
      </c>
      <c r="BF3" s="8">
        <v>4.58</v>
      </c>
      <c r="BG3" s="8">
        <v>4.93</v>
      </c>
      <c r="BH3" s="8">
        <v>5.29</v>
      </c>
      <c r="BI3" s="8">
        <v>5.69</v>
      </c>
      <c r="BJ3" s="8">
        <v>6.12</v>
      </c>
      <c r="BK3" s="8">
        <v>6.58</v>
      </c>
      <c r="BL3" s="8">
        <v>7.07</v>
      </c>
      <c r="BM3" s="8">
        <v>7.6</v>
      </c>
      <c r="BN3" s="8">
        <v>8.17</v>
      </c>
      <c r="BO3" s="8">
        <v>8.78</v>
      </c>
      <c r="BP3" s="8">
        <v>9.44</v>
      </c>
      <c r="BQ3" s="8">
        <v>10.15</v>
      </c>
      <c r="BR3" s="8">
        <v>10.91</v>
      </c>
      <c r="BS3" s="8">
        <v>11.73</v>
      </c>
      <c r="BT3" s="8">
        <v>12.61</v>
      </c>
      <c r="BU3" s="8">
        <v>13.56</v>
      </c>
      <c r="BV3" s="8">
        <v>14.57</v>
      </c>
      <c r="BX3" s="1" t="s">
        <v>132</v>
      </c>
      <c r="BY3" s="1">
        <v>2.0</v>
      </c>
      <c r="CA3" s="1">
        <v>2.0</v>
      </c>
      <c r="CB3" s="6">
        <f>1.5^2</f>
        <v>2.25</v>
      </c>
      <c r="CD3" s="1" t="s">
        <v>23</v>
      </c>
      <c r="CE3" s="1">
        <v>1.1</v>
      </c>
      <c r="CF3" s="6">
        <f>1.1</f>
        <v>1.1</v>
      </c>
      <c r="CG3" s="1">
        <v>1.0</v>
      </c>
      <c r="CH3" s="1">
        <v>1.0</v>
      </c>
      <c r="CI3" s="1">
        <v>1.0</v>
      </c>
      <c r="CJ3" s="1">
        <v>1.0</v>
      </c>
      <c r="CL3" s="1">
        <v>1.0</v>
      </c>
      <c r="CM3" s="1">
        <v>1.1</v>
      </c>
      <c r="CN3" s="1">
        <v>1.1</v>
      </c>
      <c r="CP3" s="1">
        <v>1.0</v>
      </c>
      <c r="CQ3" s="1">
        <v>1.15</v>
      </c>
      <c r="CR3" s="1">
        <v>1.2</v>
      </c>
      <c r="CT3" s="1">
        <v>2.0</v>
      </c>
      <c r="CU3" s="6">
        <f t="shared" ref="CU3:CU51" si="3">CU2+0.05</f>
        <v>1.05</v>
      </c>
      <c r="CW3" s="1" t="s">
        <v>28</v>
      </c>
      <c r="CX3" s="1">
        <v>1.35</v>
      </c>
    </row>
    <row r="4">
      <c r="A4" s="1">
        <v>3.0</v>
      </c>
      <c r="B4" s="1">
        <v>2.0</v>
      </c>
      <c r="D4" s="1" t="s">
        <v>39</v>
      </c>
      <c r="E4" s="1">
        <v>1.1</v>
      </c>
      <c r="F4" s="1">
        <v>1.21</v>
      </c>
      <c r="G4" s="1">
        <v>1.38</v>
      </c>
      <c r="H4" s="1">
        <v>1.54</v>
      </c>
      <c r="I4" s="1">
        <v>1.76</v>
      </c>
      <c r="J4" s="1">
        <v>2.04</v>
      </c>
      <c r="K4" s="1">
        <v>2.75</v>
      </c>
      <c r="M4" s="1">
        <v>3.0</v>
      </c>
      <c r="N4" s="6">
        <f t="shared" si="1"/>
        <v>1.331</v>
      </c>
      <c r="P4" s="1" t="s">
        <v>50</v>
      </c>
      <c r="Q4" s="1">
        <v>1.1</v>
      </c>
      <c r="R4" s="1">
        <v>1.25</v>
      </c>
      <c r="S4" s="1">
        <v>1.5</v>
      </c>
      <c r="T4" s="1">
        <v>2.0</v>
      </c>
      <c r="U4" s="1">
        <v>3.5</v>
      </c>
      <c r="V4" s="1">
        <v>5.0</v>
      </c>
      <c r="W4" s="1">
        <v>10.0</v>
      </c>
      <c r="Y4" s="1">
        <v>2.0</v>
      </c>
      <c r="Z4" s="6">
        <f t="shared" ref="Z4:Z102" si="4">Z3+0.02</f>
        <v>1.04</v>
      </c>
      <c r="AA4" s="1">
        <v>1.05</v>
      </c>
      <c r="AB4" s="1">
        <v>1.05</v>
      </c>
      <c r="AC4" s="1">
        <v>1.05</v>
      </c>
      <c r="AD4" s="1" t="s">
        <v>157</v>
      </c>
      <c r="AE4" s="1">
        <v>1.5</v>
      </c>
      <c r="AG4" s="1" t="s">
        <v>158</v>
      </c>
      <c r="AH4" s="1">
        <v>1.0</v>
      </c>
      <c r="AJ4" s="1" t="s">
        <v>34</v>
      </c>
      <c r="AK4" s="1">
        <v>1.3</v>
      </c>
      <c r="AM4" s="1" t="s">
        <v>26</v>
      </c>
      <c r="AN4" s="6">
        <v>1.5</v>
      </c>
      <c r="AO4" s="8">
        <v>1.61</v>
      </c>
      <c r="AP4" s="8">
        <v>1.73</v>
      </c>
      <c r="AQ4" s="8">
        <v>1.86</v>
      </c>
      <c r="AR4" s="8">
        <v>2.0</v>
      </c>
      <c r="AS4" s="8">
        <v>2.15</v>
      </c>
      <c r="AT4" s="8">
        <v>2.31</v>
      </c>
      <c r="AU4" s="8">
        <v>2.49</v>
      </c>
      <c r="AV4" s="8">
        <v>2.68</v>
      </c>
      <c r="AW4" s="8">
        <v>2.88</v>
      </c>
      <c r="AX4" s="8">
        <v>3.09</v>
      </c>
      <c r="AY4" s="8">
        <v>3.32</v>
      </c>
      <c r="AZ4" s="8">
        <v>3.57</v>
      </c>
      <c r="BA4" s="8">
        <v>3.84</v>
      </c>
      <c r="BB4" s="8">
        <v>4.13</v>
      </c>
      <c r="BC4" s="8">
        <v>4.44</v>
      </c>
      <c r="BD4" s="8">
        <v>4.77</v>
      </c>
      <c r="BE4" s="8">
        <v>5.13</v>
      </c>
      <c r="BF4" s="8">
        <v>5.51</v>
      </c>
      <c r="BG4" s="8">
        <v>5.93</v>
      </c>
      <c r="BH4" s="8">
        <v>6.37</v>
      </c>
      <c r="BI4" s="8">
        <v>6.85</v>
      </c>
      <c r="BJ4" s="8">
        <v>7.36</v>
      </c>
      <c r="BK4" s="8">
        <v>7.92</v>
      </c>
      <c r="BL4" s="8">
        <v>8.51</v>
      </c>
      <c r="BM4" s="8">
        <v>9.15</v>
      </c>
      <c r="BN4" s="8">
        <v>9.83</v>
      </c>
      <c r="BO4" s="8">
        <v>10.57</v>
      </c>
      <c r="BP4" s="8">
        <v>11.36</v>
      </c>
      <c r="BQ4" s="8">
        <v>12.22</v>
      </c>
      <c r="BR4" s="8">
        <v>13.13</v>
      </c>
      <c r="BS4" s="8">
        <v>14.12</v>
      </c>
      <c r="BT4" s="8">
        <v>15.18</v>
      </c>
      <c r="BU4" s="8">
        <v>16.31</v>
      </c>
      <c r="BV4" s="8">
        <v>17.54</v>
      </c>
      <c r="BX4" s="1" t="s">
        <v>134</v>
      </c>
      <c r="BY4" s="1">
        <v>2.5</v>
      </c>
      <c r="CA4" s="1">
        <v>3.0</v>
      </c>
      <c r="CB4" s="6">
        <f>1.5^3</f>
        <v>3.375</v>
      </c>
      <c r="CD4" s="1" t="s">
        <v>27</v>
      </c>
      <c r="CE4" s="6">
        <f t="shared" ref="CE4:CF4" si="2">CE3*1.1</f>
        <v>1.21</v>
      </c>
      <c r="CF4" s="6">
        <f t="shared" si="2"/>
        <v>1.21</v>
      </c>
      <c r="CG4" s="1">
        <v>1.0</v>
      </c>
      <c r="CH4" s="1">
        <v>1.0</v>
      </c>
      <c r="CI4" s="1">
        <v>1.0</v>
      </c>
      <c r="CJ4" s="1">
        <v>1.0</v>
      </c>
      <c r="CL4" s="1">
        <v>2.0</v>
      </c>
      <c r="CM4" s="1">
        <v>1.2</v>
      </c>
      <c r="CN4" s="1">
        <v>1.2</v>
      </c>
      <c r="CP4" s="1">
        <v>2.0</v>
      </c>
      <c r="CQ4" s="6">
        <f>1.3</f>
        <v>1.3</v>
      </c>
      <c r="CR4" s="1">
        <v>1.4</v>
      </c>
      <c r="CT4" s="1">
        <v>3.0</v>
      </c>
      <c r="CU4" s="6">
        <f t="shared" si="3"/>
        <v>1.1</v>
      </c>
      <c r="CW4" s="1" t="s">
        <v>37</v>
      </c>
      <c r="CX4" s="1">
        <v>1.5</v>
      </c>
    </row>
    <row r="5">
      <c r="A5" s="1">
        <v>4.0</v>
      </c>
      <c r="B5" s="1">
        <f t="shared" ref="B5:B26" si="6">B4*2</f>
        <v>4</v>
      </c>
      <c r="D5" s="1" t="s">
        <v>159</v>
      </c>
      <c r="E5" s="1">
        <v>1.05</v>
      </c>
      <c r="F5" s="1">
        <v>1.16</v>
      </c>
      <c r="G5" s="1">
        <v>1.31</v>
      </c>
      <c r="H5" s="1">
        <v>1.47</v>
      </c>
      <c r="I5" s="1">
        <v>1.68</v>
      </c>
      <c r="J5" s="1">
        <v>1.94</v>
      </c>
      <c r="K5" s="1">
        <v>2.63</v>
      </c>
      <c r="M5" s="1">
        <v>4.0</v>
      </c>
      <c r="N5" s="6">
        <f t="shared" si="1"/>
        <v>1.4641</v>
      </c>
      <c r="P5" s="1" t="s">
        <v>57</v>
      </c>
      <c r="Q5" s="1">
        <v>1.05</v>
      </c>
      <c r="R5" s="1">
        <v>1.1</v>
      </c>
      <c r="S5" s="1">
        <v>1.15</v>
      </c>
      <c r="T5" s="1">
        <v>1.25</v>
      </c>
      <c r="U5" s="1">
        <v>1.5</v>
      </c>
      <c r="V5" s="1">
        <v>2.0</v>
      </c>
      <c r="W5" s="1">
        <v>4.0</v>
      </c>
      <c r="Y5" s="1">
        <v>3.0</v>
      </c>
      <c r="Z5" s="6">
        <f t="shared" si="4"/>
        <v>1.06</v>
      </c>
      <c r="AA5" s="1">
        <v>1.08</v>
      </c>
      <c r="AB5" s="1">
        <v>1.08</v>
      </c>
      <c r="AC5" s="1">
        <v>1.08</v>
      </c>
      <c r="AD5" s="1" t="s">
        <v>160</v>
      </c>
      <c r="AE5" s="1">
        <v>1.75</v>
      </c>
      <c r="AG5" s="1" t="s">
        <v>161</v>
      </c>
      <c r="AH5" s="1">
        <v>1.0</v>
      </c>
      <c r="AJ5" s="1" t="s">
        <v>44</v>
      </c>
      <c r="AK5" s="1">
        <v>1.5</v>
      </c>
      <c r="AM5" s="1" t="s">
        <v>35</v>
      </c>
      <c r="AN5" s="6">
        <v>1.75</v>
      </c>
      <c r="AO5" s="8">
        <v>1.88</v>
      </c>
      <c r="AP5" s="8">
        <v>2.02</v>
      </c>
      <c r="AQ5" s="8">
        <v>2.17</v>
      </c>
      <c r="AR5" s="8">
        <v>2.34</v>
      </c>
      <c r="AS5" s="8">
        <v>2.51</v>
      </c>
      <c r="AT5" s="8">
        <v>2.7</v>
      </c>
      <c r="AU5" s="8">
        <v>2.9</v>
      </c>
      <c r="AV5" s="8">
        <v>3.12</v>
      </c>
      <c r="AW5" s="8">
        <v>3.36</v>
      </c>
      <c r="AX5" s="8">
        <v>3.61</v>
      </c>
      <c r="AY5" s="8">
        <v>3.88</v>
      </c>
      <c r="AZ5" s="8">
        <v>4.17</v>
      </c>
      <c r="BA5" s="8">
        <v>4.48</v>
      </c>
      <c r="BB5" s="8">
        <v>4.82</v>
      </c>
      <c r="BC5" s="8">
        <v>5.18</v>
      </c>
      <c r="BD5" s="8">
        <v>5.57</v>
      </c>
      <c r="BE5" s="8">
        <v>5.98</v>
      </c>
      <c r="BF5" s="8">
        <v>6.43</v>
      </c>
      <c r="BG5" s="8">
        <v>6.92</v>
      </c>
      <c r="BH5" s="8">
        <v>7.43</v>
      </c>
      <c r="BI5" s="8">
        <v>7.99</v>
      </c>
      <c r="BJ5" s="8">
        <v>8.59</v>
      </c>
      <c r="BK5" s="8">
        <v>9.23</v>
      </c>
      <c r="BL5" s="8">
        <v>9.93</v>
      </c>
      <c r="BM5" s="8">
        <v>10.67</v>
      </c>
      <c r="BN5" s="8">
        <v>11.47</v>
      </c>
      <c r="BO5" s="8">
        <v>12.33</v>
      </c>
      <c r="BP5" s="8">
        <v>13.26</v>
      </c>
      <c r="BQ5" s="8">
        <v>14.25</v>
      </c>
      <c r="BR5" s="8">
        <v>15.32</v>
      </c>
      <c r="BS5" s="8">
        <v>16.47</v>
      </c>
      <c r="BT5" s="8">
        <v>17.71</v>
      </c>
      <c r="BU5" s="8">
        <v>19.03</v>
      </c>
      <c r="BV5" s="8">
        <v>20.46</v>
      </c>
      <c r="CA5" s="1">
        <v>4.0</v>
      </c>
      <c r="CB5" s="6">
        <f>1.5^4</f>
        <v>5.0625</v>
      </c>
      <c r="CD5" s="1" t="s">
        <v>36</v>
      </c>
      <c r="CE5" s="6">
        <f t="shared" ref="CE5:CF5" si="5">CE4*1.1</f>
        <v>1.331</v>
      </c>
      <c r="CF5" s="6">
        <f t="shared" si="5"/>
        <v>1.331</v>
      </c>
      <c r="CG5" s="1">
        <v>1.1</v>
      </c>
      <c r="CH5" s="1">
        <v>1.1</v>
      </c>
      <c r="CI5" s="1">
        <v>1.1</v>
      </c>
      <c r="CJ5" s="1">
        <v>1.1</v>
      </c>
      <c r="CL5" s="1">
        <v>3.0</v>
      </c>
      <c r="CM5" s="1">
        <v>1.3</v>
      </c>
      <c r="CN5" s="1">
        <v>1.3</v>
      </c>
      <c r="CP5" s="1">
        <v>3.0</v>
      </c>
      <c r="CQ5" s="1">
        <v>1.45</v>
      </c>
      <c r="CR5" s="1">
        <v>1.6</v>
      </c>
      <c r="CT5" s="1">
        <v>4.0</v>
      </c>
      <c r="CU5" s="6">
        <f t="shared" si="3"/>
        <v>1.15</v>
      </c>
      <c r="CW5" s="1" t="s">
        <v>47</v>
      </c>
      <c r="CX5" s="1">
        <v>1.75</v>
      </c>
    </row>
    <row r="6">
      <c r="A6" s="1">
        <v>5.0</v>
      </c>
      <c r="B6" s="1">
        <f t="shared" si="6"/>
        <v>8</v>
      </c>
      <c r="D6" s="1" t="s">
        <v>49</v>
      </c>
      <c r="E6" s="1">
        <v>1.1</v>
      </c>
      <c r="F6" s="1">
        <v>1.21</v>
      </c>
      <c r="G6" s="1">
        <v>1.38</v>
      </c>
      <c r="H6" s="1">
        <v>1.54</v>
      </c>
      <c r="I6" s="1">
        <v>1.76</v>
      </c>
      <c r="J6" s="1">
        <v>2.04</v>
      </c>
      <c r="K6" s="1">
        <v>2.75</v>
      </c>
      <c r="M6" s="1">
        <v>5.0</v>
      </c>
      <c r="N6" s="6">
        <f t="shared" si="1"/>
        <v>1.61051</v>
      </c>
      <c r="P6" s="1" t="s">
        <v>62</v>
      </c>
      <c r="Q6" s="1">
        <v>1.1</v>
      </c>
      <c r="R6" s="1">
        <v>1.25</v>
      </c>
      <c r="S6" s="1">
        <v>1.5</v>
      </c>
      <c r="T6" s="1">
        <v>2.0</v>
      </c>
      <c r="U6" s="1">
        <v>3.5</v>
      </c>
      <c r="V6" s="1">
        <v>5.0</v>
      </c>
      <c r="W6" s="1">
        <v>10.0</v>
      </c>
      <c r="Y6" s="1">
        <v>4.0</v>
      </c>
      <c r="Z6" s="6">
        <f t="shared" si="4"/>
        <v>1.08</v>
      </c>
      <c r="AA6" s="1">
        <v>1.1</v>
      </c>
      <c r="AB6" s="1">
        <v>1.1</v>
      </c>
      <c r="AC6" s="1">
        <v>1.1</v>
      </c>
      <c r="AD6" s="1" t="s">
        <v>162</v>
      </c>
      <c r="AE6" s="1">
        <v>2.0</v>
      </c>
      <c r="AG6" s="1" t="s">
        <v>163</v>
      </c>
      <c r="AH6" s="1">
        <v>1.1</v>
      </c>
      <c r="AM6" s="1" t="s">
        <v>45</v>
      </c>
      <c r="AN6" s="6">
        <v>2.0</v>
      </c>
      <c r="AO6" s="8">
        <v>2.15</v>
      </c>
      <c r="AP6" s="8">
        <v>2.31</v>
      </c>
      <c r="AQ6" s="8">
        <v>2.48</v>
      </c>
      <c r="AR6" s="8">
        <v>2.67</v>
      </c>
      <c r="AS6" s="8">
        <v>2.87</v>
      </c>
      <c r="AT6" s="8">
        <v>3.09</v>
      </c>
      <c r="AU6" s="8">
        <v>3.32</v>
      </c>
      <c r="AV6" s="8">
        <v>3.57</v>
      </c>
      <c r="AW6" s="8">
        <v>3.83</v>
      </c>
      <c r="AX6" s="8">
        <v>4.12</v>
      </c>
      <c r="AY6" s="8">
        <v>4.43</v>
      </c>
      <c r="AZ6" s="8">
        <v>4.76</v>
      </c>
      <c r="BA6" s="8">
        <v>5.12</v>
      </c>
      <c r="BB6" s="8">
        <v>5.5</v>
      </c>
      <c r="BC6" s="8">
        <v>5.92</v>
      </c>
      <c r="BD6" s="8">
        <v>6.36</v>
      </c>
      <c r="BE6" s="8">
        <v>6.84</v>
      </c>
      <c r="BF6" s="8">
        <v>7.35</v>
      </c>
      <c r="BG6" s="8">
        <v>7.9</v>
      </c>
      <c r="BH6" s="8">
        <v>8.5</v>
      </c>
      <c r="BI6" s="8">
        <v>9.13</v>
      </c>
      <c r="BJ6" s="8">
        <v>9.82</v>
      </c>
      <c r="BK6" s="8">
        <v>10.55</v>
      </c>
      <c r="BL6" s="8">
        <v>11.35</v>
      </c>
      <c r="BM6" s="8">
        <v>12.2</v>
      </c>
      <c r="BN6" s="8">
        <v>13.11</v>
      </c>
      <c r="BO6" s="8">
        <v>14.09</v>
      </c>
      <c r="BP6" s="8">
        <v>15.15</v>
      </c>
      <c r="BQ6" s="8">
        <v>16.29</v>
      </c>
      <c r="BR6" s="8">
        <v>17.51</v>
      </c>
      <c r="BS6" s="8">
        <v>18.82</v>
      </c>
      <c r="BT6" s="8">
        <v>20.23</v>
      </c>
      <c r="BU6" s="8">
        <v>21.75</v>
      </c>
      <c r="BV6" s="8">
        <v>23.38</v>
      </c>
      <c r="CA6" s="1">
        <v>5.0</v>
      </c>
      <c r="CB6" s="6">
        <f>1.5^5</f>
        <v>7.59375</v>
      </c>
      <c r="CD6" s="1" t="s">
        <v>46</v>
      </c>
      <c r="CE6" s="6">
        <f t="shared" ref="CE6:CF6" si="7">CE5*1.1</f>
        <v>1.4641</v>
      </c>
      <c r="CF6" s="6">
        <f t="shared" si="7"/>
        <v>1.4641</v>
      </c>
      <c r="CG6" s="1">
        <v>1.1</v>
      </c>
      <c r="CH6" s="1">
        <v>1.1</v>
      </c>
      <c r="CI6" s="1">
        <v>1.1</v>
      </c>
      <c r="CJ6" s="1">
        <v>1.1</v>
      </c>
      <c r="CL6" s="1">
        <v>4.0</v>
      </c>
      <c r="CM6" s="1">
        <v>1.4</v>
      </c>
      <c r="CN6" s="1">
        <v>1.4</v>
      </c>
      <c r="CP6" s="1">
        <v>4.0</v>
      </c>
      <c r="CQ6" s="1">
        <v>1.6</v>
      </c>
      <c r="CT6" s="1">
        <v>5.0</v>
      </c>
      <c r="CU6" s="6">
        <f t="shared" si="3"/>
        <v>1.2</v>
      </c>
    </row>
    <row r="7">
      <c r="A7" s="1">
        <v>6.0</v>
      </c>
      <c r="B7" s="1">
        <f t="shared" si="6"/>
        <v>16</v>
      </c>
      <c r="D7" s="1" t="s">
        <v>164</v>
      </c>
      <c r="E7" s="1">
        <v>1.1</v>
      </c>
      <c r="F7" s="1">
        <v>1.21</v>
      </c>
      <c r="G7" s="1">
        <v>1.38</v>
      </c>
      <c r="H7" s="1">
        <v>1.54</v>
      </c>
      <c r="I7" s="1">
        <v>1.76</v>
      </c>
      <c r="J7" s="1">
        <v>2.04</v>
      </c>
      <c r="K7" s="1">
        <v>2.75</v>
      </c>
      <c r="M7" s="1">
        <v>6.0</v>
      </c>
      <c r="N7" s="6">
        <f t="shared" si="1"/>
        <v>1.771561</v>
      </c>
      <c r="P7" s="1" t="s">
        <v>68</v>
      </c>
      <c r="Q7" s="1">
        <v>1.1</v>
      </c>
      <c r="R7" s="1">
        <v>1.25</v>
      </c>
      <c r="S7" s="1">
        <v>1.5</v>
      </c>
      <c r="T7" s="1">
        <v>2.0</v>
      </c>
      <c r="U7" s="1">
        <v>3.5</v>
      </c>
      <c r="V7" s="1">
        <v>5.0</v>
      </c>
      <c r="W7" s="1">
        <v>10.0</v>
      </c>
      <c r="Y7" s="1">
        <v>5.0</v>
      </c>
      <c r="Z7" s="6">
        <f t="shared" si="4"/>
        <v>1.1</v>
      </c>
      <c r="AA7" s="1">
        <v>1.13</v>
      </c>
      <c r="AB7" s="1">
        <v>1.13</v>
      </c>
      <c r="AC7" s="1">
        <v>1.13</v>
      </c>
      <c r="AD7" s="1" t="s">
        <v>165</v>
      </c>
      <c r="AE7" s="1">
        <v>2.5</v>
      </c>
      <c r="AG7" s="1" t="s">
        <v>95</v>
      </c>
      <c r="AH7" s="1">
        <v>1.25</v>
      </c>
      <c r="AM7" s="1" t="s">
        <v>53</v>
      </c>
      <c r="AN7" s="6">
        <v>4.5</v>
      </c>
      <c r="AO7" s="8">
        <v>4.84</v>
      </c>
      <c r="AP7" s="8">
        <v>5.2</v>
      </c>
      <c r="AQ7" s="8">
        <v>5.59</v>
      </c>
      <c r="AR7" s="8">
        <v>6.01</v>
      </c>
      <c r="AS7" s="8">
        <v>6.46</v>
      </c>
      <c r="AT7" s="8">
        <v>6.94</v>
      </c>
      <c r="AU7" s="8">
        <v>7.47</v>
      </c>
      <c r="AV7" s="8">
        <v>8.03</v>
      </c>
      <c r="AW7" s="8">
        <v>8.63</v>
      </c>
      <c r="AX7" s="8">
        <v>9.27</v>
      </c>
      <c r="AY7" s="8">
        <v>9.97</v>
      </c>
      <c r="AZ7" s="8">
        <v>10.72</v>
      </c>
      <c r="BA7" s="8">
        <v>11.52</v>
      </c>
      <c r="BB7" s="8">
        <v>12.39</v>
      </c>
      <c r="BC7" s="8">
        <v>13.31</v>
      </c>
      <c r="BD7" s="8">
        <v>14.31</v>
      </c>
      <c r="BE7" s="8">
        <v>15.39</v>
      </c>
      <c r="BF7" s="8">
        <v>16.54</v>
      </c>
      <c r="BG7" s="8">
        <v>17.78</v>
      </c>
      <c r="BH7" s="8">
        <v>19.12</v>
      </c>
      <c r="BI7" s="8">
        <v>20.55</v>
      </c>
      <c r="BJ7" s="8">
        <v>22.09</v>
      </c>
      <c r="BK7" s="8">
        <v>23.75</v>
      </c>
      <c r="BL7" s="8">
        <v>25.53</v>
      </c>
      <c r="BM7" s="8">
        <v>27.44</v>
      </c>
      <c r="BN7" s="8">
        <v>29.5</v>
      </c>
      <c r="BO7" s="8">
        <v>31.71</v>
      </c>
      <c r="BP7" s="8">
        <v>34.09</v>
      </c>
      <c r="BQ7" s="8">
        <v>36.65</v>
      </c>
      <c r="BR7" s="8">
        <v>39.4</v>
      </c>
      <c r="BS7" s="8">
        <v>42.35</v>
      </c>
      <c r="BT7" s="8">
        <v>45.53</v>
      </c>
      <c r="BU7" s="8">
        <v>48.94</v>
      </c>
      <c r="BV7" s="8">
        <v>52.61</v>
      </c>
      <c r="CD7" s="1" t="s">
        <v>54</v>
      </c>
      <c r="CE7" s="6">
        <f t="shared" ref="CE7:CF7" si="8">CE6*1.1</f>
        <v>1.61051</v>
      </c>
      <c r="CF7" s="6">
        <f t="shared" si="8"/>
        <v>1.61051</v>
      </c>
      <c r="CG7" s="1">
        <v>1.1</v>
      </c>
      <c r="CH7" s="1">
        <v>1.1</v>
      </c>
      <c r="CI7" s="1">
        <v>1.1</v>
      </c>
      <c r="CJ7" s="1">
        <v>1.1</v>
      </c>
      <c r="CL7" s="1">
        <v>5.0</v>
      </c>
      <c r="CM7" s="1">
        <v>1.5</v>
      </c>
      <c r="CN7" s="1">
        <v>1.5</v>
      </c>
      <c r="CP7" s="1">
        <v>5.0</v>
      </c>
      <c r="CQ7" s="1">
        <v>1.75</v>
      </c>
      <c r="CT7" s="1">
        <v>6.0</v>
      </c>
      <c r="CU7" s="6">
        <f t="shared" si="3"/>
        <v>1.25</v>
      </c>
    </row>
    <row r="8">
      <c r="A8" s="1">
        <v>7.0</v>
      </c>
      <c r="B8" s="1">
        <f t="shared" si="6"/>
        <v>32</v>
      </c>
      <c r="D8" s="1" t="s">
        <v>166</v>
      </c>
      <c r="E8" s="1">
        <v>1.05</v>
      </c>
      <c r="F8" s="1">
        <v>1.16</v>
      </c>
      <c r="G8" s="1">
        <v>1.31</v>
      </c>
      <c r="H8" s="1">
        <v>1.47</v>
      </c>
      <c r="I8" s="1">
        <v>1.68</v>
      </c>
      <c r="J8" s="1">
        <v>1.94</v>
      </c>
      <c r="K8" s="1">
        <v>2.63</v>
      </c>
      <c r="M8" s="1">
        <v>7.0</v>
      </c>
      <c r="N8" s="6">
        <f t="shared" si="1"/>
        <v>1.9487171</v>
      </c>
      <c r="P8" s="1" t="s">
        <v>74</v>
      </c>
      <c r="Q8" s="1">
        <v>1.1</v>
      </c>
      <c r="R8" s="1">
        <v>1.25</v>
      </c>
      <c r="S8" s="1">
        <v>1.5</v>
      </c>
      <c r="T8" s="1">
        <v>2.0</v>
      </c>
      <c r="U8" s="1">
        <v>3.5</v>
      </c>
      <c r="V8" s="1">
        <v>5.0</v>
      </c>
      <c r="W8" s="1">
        <v>10.0</v>
      </c>
      <c r="Y8" s="1">
        <v>6.0</v>
      </c>
      <c r="Z8" s="6">
        <f t="shared" si="4"/>
        <v>1.12</v>
      </c>
      <c r="AA8" s="1">
        <v>1.15</v>
      </c>
      <c r="AB8" s="1">
        <v>1.15</v>
      </c>
      <c r="AC8" s="1">
        <v>1.15</v>
      </c>
      <c r="AD8" s="1" t="s">
        <v>88</v>
      </c>
      <c r="AE8" s="1">
        <v>5.0</v>
      </c>
      <c r="AG8" s="1" t="s">
        <v>116</v>
      </c>
      <c r="AH8" s="1">
        <v>1.5</v>
      </c>
      <c r="AM8" s="1" t="s">
        <v>59</v>
      </c>
      <c r="AN8" s="6">
        <v>2.35</v>
      </c>
      <c r="AO8" s="8">
        <v>2.53</v>
      </c>
      <c r="AP8" s="8">
        <v>2.72</v>
      </c>
      <c r="AQ8" s="8">
        <v>2.92</v>
      </c>
      <c r="AR8" s="8">
        <v>3.14</v>
      </c>
      <c r="AS8" s="8">
        <v>3.37</v>
      </c>
      <c r="AT8" s="8">
        <v>3.63</v>
      </c>
      <c r="AU8" s="8">
        <v>3.9</v>
      </c>
      <c r="AV8" s="8">
        <v>4.19</v>
      </c>
      <c r="AW8" s="8">
        <v>4.51</v>
      </c>
      <c r="AX8" s="8">
        <v>4.84</v>
      </c>
      <c r="AY8" s="8">
        <v>5.21</v>
      </c>
      <c r="AZ8" s="8">
        <v>5.6</v>
      </c>
      <c r="BA8" s="8">
        <v>6.02</v>
      </c>
      <c r="BB8" s="8">
        <v>6.47</v>
      </c>
      <c r="BC8" s="8">
        <v>6.95</v>
      </c>
      <c r="BD8" s="8">
        <v>7.47</v>
      </c>
      <c r="BE8" s="8">
        <v>8.04</v>
      </c>
      <c r="BF8" s="8">
        <v>8.64</v>
      </c>
      <c r="BG8" s="8">
        <v>9.29</v>
      </c>
      <c r="BH8" s="8">
        <v>9.98</v>
      </c>
      <c r="BI8" s="8">
        <v>10.73</v>
      </c>
      <c r="BJ8" s="8">
        <v>11.54</v>
      </c>
      <c r="BK8" s="8">
        <v>12.4</v>
      </c>
      <c r="BL8" s="8">
        <v>13.33</v>
      </c>
      <c r="BM8" s="8">
        <v>14.33</v>
      </c>
      <c r="BN8" s="8">
        <v>15.41</v>
      </c>
      <c r="BO8" s="8">
        <v>16.56</v>
      </c>
      <c r="BP8" s="8">
        <v>17.8</v>
      </c>
      <c r="BQ8" s="8">
        <v>19.14</v>
      </c>
      <c r="BR8" s="8">
        <v>20.57</v>
      </c>
      <c r="BS8" s="8">
        <v>22.12</v>
      </c>
      <c r="BT8" s="8">
        <v>23.78</v>
      </c>
      <c r="BU8" s="8">
        <v>25.56</v>
      </c>
      <c r="BV8" s="8">
        <v>27.48</v>
      </c>
      <c r="CD8" s="1" t="s">
        <v>52</v>
      </c>
      <c r="CE8" s="6">
        <f t="shared" ref="CE8:CF8" si="9">CE7*1.1</f>
        <v>1.771561</v>
      </c>
      <c r="CF8" s="6">
        <f t="shared" si="9"/>
        <v>1.771561</v>
      </c>
      <c r="CG8" s="1">
        <v>1.1</v>
      </c>
      <c r="CH8" s="1">
        <v>1.1</v>
      </c>
      <c r="CI8" s="1">
        <v>1.1</v>
      </c>
      <c r="CJ8" s="1">
        <v>1.1</v>
      </c>
      <c r="CL8" s="1">
        <v>6.0</v>
      </c>
      <c r="CM8" s="1">
        <v>1.6</v>
      </c>
      <c r="CN8" s="1">
        <v>1.6</v>
      </c>
      <c r="CT8" s="1">
        <v>7.0</v>
      </c>
      <c r="CU8" s="6">
        <f t="shared" si="3"/>
        <v>1.3</v>
      </c>
    </row>
    <row r="9">
      <c r="A9" s="1">
        <v>8.0</v>
      </c>
      <c r="B9" s="1">
        <f t="shared" si="6"/>
        <v>64</v>
      </c>
      <c r="D9" s="1" t="s">
        <v>167</v>
      </c>
      <c r="E9" s="1">
        <v>1.05</v>
      </c>
      <c r="F9" s="1">
        <v>1.16</v>
      </c>
      <c r="G9" s="1">
        <v>1.31</v>
      </c>
      <c r="H9" s="1">
        <v>1.47</v>
      </c>
      <c r="I9" s="1">
        <v>1.68</v>
      </c>
      <c r="J9" s="1">
        <v>1.94</v>
      </c>
      <c r="K9" s="1">
        <v>2.63</v>
      </c>
      <c r="M9" s="1">
        <v>8.0</v>
      </c>
      <c r="N9" s="6">
        <f t="shared" si="1"/>
        <v>2.14358881</v>
      </c>
      <c r="P9" s="1" t="s">
        <v>78</v>
      </c>
      <c r="Q9" s="1">
        <v>1.1</v>
      </c>
      <c r="R9" s="1">
        <v>1.25</v>
      </c>
      <c r="S9" s="1">
        <v>1.5</v>
      </c>
      <c r="T9" s="1">
        <v>2.0</v>
      </c>
      <c r="U9" s="1">
        <v>3.5</v>
      </c>
      <c r="V9" s="1">
        <v>5.0</v>
      </c>
      <c r="W9" s="1">
        <v>10.0</v>
      </c>
      <c r="Y9" s="1">
        <v>7.0</v>
      </c>
      <c r="Z9" s="6">
        <f t="shared" si="4"/>
        <v>1.14</v>
      </c>
      <c r="AA9" s="1">
        <v>1.18</v>
      </c>
      <c r="AB9" s="1">
        <v>1.18</v>
      </c>
      <c r="AC9" s="1">
        <v>1.18</v>
      </c>
      <c r="AM9" s="1" t="s">
        <v>64</v>
      </c>
      <c r="AN9" s="6">
        <v>2.7</v>
      </c>
      <c r="AO9" s="8">
        <v>2.9</v>
      </c>
      <c r="AP9" s="8">
        <v>3.12</v>
      </c>
      <c r="AQ9" s="8">
        <v>3.35</v>
      </c>
      <c r="AR9" s="8">
        <v>3.61</v>
      </c>
      <c r="AS9" s="8">
        <v>3.88</v>
      </c>
      <c r="AT9" s="8">
        <v>4.17</v>
      </c>
      <c r="AU9" s="8">
        <v>4.48</v>
      </c>
      <c r="AV9" s="8">
        <v>4.82</v>
      </c>
      <c r="AW9" s="8">
        <v>5.18</v>
      </c>
      <c r="AX9" s="8">
        <v>5.56</v>
      </c>
      <c r="AY9" s="8">
        <v>5.98</v>
      </c>
      <c r="AZ9" s="8">
        <v>6.43</v>
      </c>
      <c r="BA9" s="8">
        <v>6.91</v>
      </c>
      <c r="BB9" s="8">
        <v>7.43</v>
      </c>
      <c r="BC9" s="8">
        <v>7.99</v>
      </c>
      <c r="BD9" s="8">
        <v>8.59</v>
      </c>
      <c r="BE9" s="8">
        <v>9.23</v>
      </c>
      <c r="BF9" s="8">
        <v>9.92</v>
      </c>
      <c r="BG9" s="8">
        <v>10.67</v>
      </c>
      <c r="BH9" s="8">
        <v>11.47</v>
      </c>
      <c r="BI9" s="8">
        <v>12.33</v>
      </c>
      <c r="BJ9" s="8">
        <v>13.25</v>
      </c>
      <c r="BK9" s="8">
        <v>14.25</v>
      </c>
      <c r="BL9" s="8">
        <v>15.32</v>
      </c>
      <c r="BM9" s="8">
        <v>16.47</v>
      </c>
      <c r="BN9" s="8">
        <v>17.7</v>
      </c>
      <c r="BO9" s="8">
        <v>19.03</v>
      </c>
      <c r="BP9" s="8">
        <v>20.46</v>
      </c>
      <c r="BQ9" s="8">
        <v>21.99</v>
      </c>
      <c r="BR9" s="8">
        <v>23.64</v>
      </c>
      <c r="BS9" s="8">
        <v>25.41</v>
      </c>
      <c r="BT9" s="8">
        <v>27.32</v>
      </c>
      <c r="BU9" s="8">
        <v>29.37</v>
      </c>
      <c r="BV9" s="8">
        <v>31.57</v>
      </c>
      <c r="CD9" s="1" t="s">
        <v>65</v>
      </c>
      <c r="CE9" s="6">
        <f t="shared" ref="CE9:CE11" si="10">CE8*1.15</f>
        <v>2.03729515</v>
      </c>
      <c r="CG9" s="1">
        <v>1.1</v>
      </c>
      <c r="CH9" s="1">
        <v>1.1</v>
      </c>
      <c r="CI9" s="1">
        <v>1.1</v>
      </c>
      <c r="CJ9" s="1">
        <v>1.1</v>
      </c>
      <c r="CL9" s="1">
        <v>7.0</v>
      </c>
      <c r="CM9" s="1">
        <v>1.7</v>
      </c>
      <c r="CN9" s="1">
        <v>1.7</v>
      </c>
      <c r="CP9" s="3" t="s">
        <v>168</v>
      </c>
      <c r="CT9" s="1">
        <v>8.0</v>
      </c>
      <c r="CU9" s="6">
        <f t="shared" si="3"/>
        <v>1.35</v>
      </c>
    </row>
    <row r="10">
      <c r="A10" s="1">
        <v>9.0</v>
      </c>
      <c r="B10" s="1">
        <f t="shared" si="6"/>
        <v>128</v>
      </c>
      <c r="D10" s="1" t="s">
        <v>169</v>
      </c>
      <c r="E10" s="1">
        <v>1.1</v>
      </c>
      <c r="F10" s="1">
        <v>1.21</v>
      </c>
      <c r="G10" s="1">
        <v>1.38</v>
      </c>
      <c r="H10" s="1">
        <v>1.54</v>
      </c>
      <c r="I10" s="1">
        <v>1.76</v>
      </c>
      <c r="J10" s="1">
        <v>2.04</v>
      </c>
      <c r="K10" s="1">
        <v>2.75</v>
      </c>
      <c r="M10" s="1">
        <v>9.0</v>
      </c>
      <c r="N10" s="6">
        <f t="shared" si="1"/>
        <v>2.357947691</v>
      </c>
      <c r="Y10" s="1">
        <v>8.0</v>
      </c>
      <c r="Z10" s="6">
        <f t="shared" si="4"/>
        <v>1.16</v>
      </c>
      <c r="AA10" s="1">
        <v>1.2</v>
      </c>
      <c r="AB10" s="1">
        <v>1.2</v>
      </c>
      <c r="AC10" s="1">
        <v>1.2</v>
      </c>
      <c r="AM10" s="1" t="s">
        <v>71</v>
      </c>
      <c r="AN10" s="6">
        <v>3.05</v>
      </c>
      <c r="AO10" s="8">
        <v>3.28</v>
      </c>
      <c r="AP10" s="8">
        <v>3.52</v>
      </c>
      <c r="AQ10" s="8">
        <v>3.79</v>
      </c>
      <c r="AR10" s="8">
        <v>4.07</v>
      </c>
      <c r="AS10" s="8">
        <v>4.38</v>
      </c>
      <c r="AT10" s="8">
        <v>4.71</v>
      </c>
      <c r="AU10" s="8">
        <v>5.06</v>
      </c>
      <c r="AV10" s="8">
        <v>5.44</v>
      </c>
      <c r="AW10" s="8">
        <v>5.85</v>
      </c>
      <c r="AX10" s="8">
        <v>6.29</v>
      </c>
      <c r="AY10" s="8">
        <v>6.76</v>
      </c>
      <c r="AZ10" s="8">
        <v>7.26</v>
      </c>
      <c r="BA10" s="8">
        <v>7.81</v>
      </c>
      <c r="BB10" s="8">
        <v>8.39</v>
      </c>
      <c r="BC10" s="8">
        <v>9.02</v>
      </c>
      <c r="BD10" s="8">
        <v>9.7</v>
      </c>
      <c r="BE10" s="8">
        <v>10.43</v>
      </c>
      <c r="BF10" s="8">
        <v>11.21</v>
      </c>
      <c r="BG10" s="8">
        <v>12.05</v>
      </c>
      <c r="BH10" s="8">
        <v>12.96</v>
      </c>
      <c r="BI10" s="8">
        <v>13.93</v>
      </c>
      <c r="BJ10" s="8">
        <v>14.97</v>
      </c>
      <c r="BK10" s="8">
        <v>16.1</v>
      </c>
      <c r="BL10" s="8">
        <v>17.3</v>
      </c>
      <c r="BM10" s="8">
        <v>18.6</v>
      </c>
      <c r="BN10" s="8">
        <v>19.99</v>
      </c>
      <c r="BO10" s="8">
        <v>21.49</v>
      </c>
      <c r="BP10" s="8">
        <v>23.11</v>
      </c>
      <c r="BQ10" s="8">
        <v>24.84</v>
      </c>
      <c r="BR10" s="8">
        <v>26.7</v>
      </c>
      <c r="BS10" s="8">
        <v>28.71</v>
      </c>
      <c r="BT10" s="8">
        <v>30.86</v>
      </c>
      <c r="BU10" s="8">
        <v>33.17</v>
      </c>
      <c r="BV10" s="8">
        <v>35.66</v>
      </c>
      <c r="CD10" s="1" t="s">
        <v>72</v>
      </c>
      <c r="CE10" s="6">
        <f t="shared" si="10"/>
        <v>2.342889423</v>
      </c>
      <c r="CG10" s="1">
        <f>1.1*1.15</f>
        <v>1.265</v>
      </c>
      <c r="CH10" s="1">
        <v>1.265</v>
      </c>
      <c r="CI10" s="1">
        <v>1.265</v>
      </c>
      <c r="CJ10" s="1">
        <v>1.265</v>
      </c>
      <c r="CL10" s="1">
        <v>8.0</v>
      </c>
      <c r="CM10" s="1">
        <v>1.8</v>
      </c>
      <c r="CN10" s="1">
        <v>1.8</v>
      </c>
      <c r="CP10" s="1" t="s">
        <v>148</v>
      </c>
      <c r="CQ10" s="1" t="s">
        <v>95</v>
      </c>
      <c r="CT10" s="1">
        <v>9.0</v>
      </c>
      <c r="CU10" s="6">
        <f t="shared" si="3"/>
        <v>1.4</v>
      </c>
    </row>
    <row r="11">
      <c r="A11" s="1">
        <v>10.0</v>
      </c>
      <c r="B11" s="1">
        <f t="shared" si="6"/>
        <v>256</v>
      </c>
      <c r="D11" s="1" t="s">
        <v>170</v>
      </c>
      <c r="E11" s="1">
        <v>1.05</v>
      </c>
      <c r="F11" s="1">
        <v>1.16</v>
      </c>
      <c r="G11" s="1">
        <v>1.31</v>
      </c>
      <c r="H11" s="1">
        <v>1.47</v>
      </c>
      <c r="I11" s="1">
        <v>1.68</v>
      </c>
      <c r="J11" s="1">
        <v>1.94</v>
      </c>
      <c r="K11" s="1">
        <v>2.63</v>
      </c>
      <c r="Y11" s="1">
        <v>9.0</v>
      </c>
      <c r="Z11" s="6">
        <f t="shared" si="4"/>
        <v>1.18</v>
      </c>
      <c r="AA11" s="1">
        <v>1.23</v>
      </c>
      <c r="AB11" s="1">
        <v>1.23</v>
      </c>
      <c r="AC11" s="1">
        <v>1.23</v>
      </c>
      <c r="AM11" s="1" t="s">
        <v>76</v>
      </c>
      <c r="AN11" s="6">
        <v>3.4</v>
      </c>
      <c r="AO11" s="8">
        <v>3.66</v>
      </c>
      <c r="AP11" s="8">
        <v>3.93</v>
      </c>
      <c r="AQ11" s="8">
        <v>4.22</v>
      </c>
      <c r="AR11" s="8">
        <v>4.54</v>
      </c>
      <c r="AS11" s="8">
        <v>4.88</v>
      </c>
      <c r="AT11" s="8">
        <v>5.25</v>
      </c>
      <c r="AU11" s="8">
        <v>5.64</v>
      </c>
      <c r="AV11" s="8">
        <v>6.06</v>
      </c>
      <c r="AW11" s="8">
        <v>6.52</v>
      </c>
      <c r="AX11" s="8">
        <v>7.01</v>
      </c>
      <c r="AY11" s="8">
        <v>7.53</v>
      </c>
      <c r="AZ11" s="8">
        <v>8.1</v>
      </c>
      <c r="BA11" s="8">
        <v>8.71</v>
      </c>
      <c r="BB11" s="8">
        <v>9.36</v>
      </c>
      <c r="BC11" s="8">
        <v>10.06</v>
      </c>
      <c r="BD11" s="8">
        <v>10.81</v>
      </c>
      <c r="BE11" s="8">
        <v>11.63</v>
      </c>
      <c r="BF11" s="8">
        <v>12.5</v>
      </c>
      <c r="BG11" s="8">
        <v>13.44</v>
      </c>
      <c r="BH11" s="8">
        <v>14.44</v>
      </c>
      <c r="BI11" s="8">
        <v>15.53</v>
      </c>
      <c r="BJ11" s="8">
        <v>16.69</v>
      </c>
      <c r="BK11" s="8">
        <v>17.94</v>
      </c>
      <c r="BL11" s="8">
        <v>19.29</v>
      </c>
      <c r="BM11" s="8">
        <v>20.73</v>
      </c>
      <c r="BN11" s="8">
        <v>22.29</v>
      </c>
      <c r="BO11" s="8">
        <v>23.96</v>
      </c>
      <c r="BP11" s="8">
        <v>25.76</v>
      </c>
      <c r="BQ11" s="8">
        <v>27.69</v>
      </c>
      <c r="BR11" s="8">
        <v>29.77</v>
      </c>
      <c r="BS11" s="8">
        <v>32.0</v>
      </c>
      <c r="BT11" s="8">
        <v>34.4</v>
      </c>
      <c r="BU11" s="8">
        <v>36.98</v>
      </c>
      <c r="BV11" s="8">
        <v>39.75</v>
      </c>
      <c r="CD11" s="1" t="s">
        <v>77</v>
      </c>
      <c r="CE11" s="6">
        <f t="shared" si="10"/>
        <v>2.694322836</v>
      </c>
      <c r="CG11" s="1">
        <v>1.265</v>
      </c>
      <c r="CH11" s="1">
        <v>1.265</v>
      </c>
      <c r="CI11" s="1">
        <v>1.265</v>
      </c>
      <c r="CJ11" s="1">
        <v>1.265</v>
      </c>
      <c r="CL11" s="1">
        <v>9.0</v>
      </c>
      <c r="CM11" s="1">
        <v>1.9</v>
      </c>
      <c r="CN11" s="1">
        <v>1.9</v>
      </c>
      <c r="CP11" s="1">
        <v>1.0</v>
      </c>
      <c r="CQ11" s="1">
        <v>1.2</v>
      </c>
      <c r="CT11" s="1">
        <v>10.0</v>
      </c>
      <c r="CU11" s="6">
        <f t="shared" si="3"/>
        <v>1.45</v>
      </c>
    </row>
    <row r="12">
      <c r="A12" s="1">
        <v>11.0</v>
      </c>
      <c r="B12" s="1">
        <f t="shared" si="6"/>
        <v>512</v>
      </c>
      <c r="D12" s="1" t="s">
        <v>67</v>
      </c>
      <c r="E12" s="1">
        <v>1.1</v>
      </c>
      <c r="F12" s="1">
        <v>1.21</v>
      </c>
      <c r="G12" s="1">
        <v>1.38</v>
      </c>
      <c r="H12" s="1">
        <v>1.54</v>
      </c>
      <c r="I12" s="1">
        <v>1.76</v>
      </c>
      <c r="J12" s="1">
        <v>2.04</v>
      </c>
      <c r="K12" s="1">
        <v>2.75</v>
      </c>
      <c r="Y12" s="1">
        <v>10.0</v>
      </c>
      <c r="Z12" s="6">
        <f t="shared" si="4"/>
        <v>1.2</v>
      </c>
      <c r="AA12" s="1">
        <v>1.25</v>
      </c>
      <c r="AB12" s="1">
        <v>1.25</v>
      </c>
      <c r="AC12" s="1">
        <v>1.25</v>
      </c>
      <c r="AM12" s="1" t="s">
        <v>79</v>
      </c>
      <c r="AN12" s="6">
        <v>7.05</v>
      </c>
      <c r="AO12" s="8">
        <v>7.58</v>
      </c>
      <c r="AP12" s="8">
        <v>8.15</v>
      </c>
      <c r="AQ12" s="8">
        <v>8.76</v>
      </c>
      <c r="AR12" s="8">
        <v>9.42</v>
      </c>
      <c r="AS12" s="8">
        <v>10.12</v>
      </c>
      <c r="AT12" s="8">
        <v>10.88</v>
      </c>
      <c r="AU12" s="8">
        <v>11.7</v>
      </c>
      <c r="AV12" s="8">
        <v>12.57</v>
      </c>
      <c r="AW12" s="8">
        <v>13.52</v>
      </c>
      <c r="AX12" s="8">
        <v>14.53</v>
      </c>
      <c r="AY12" s="8">
        <v>15.62</v>
      </c>
      <c r="AZ12" s="8">
        <v>16.79</v>
      </c>
      <c r="BA12" s="8">
        <v>18.05</v>
      </c>
      <c r="BB12" s="8">
        <v>19.4</v>
      </c>
      <c r="BC12" s="8">
        <v>20.86</v>
      </c>
      <c r="BD12" s="8">
        <v>22.42</v>
      </c>
      <c r="BE12" s="8">
        <v>24.11</v>
      </c>
      <c r="BF12" s="8">
        <v>25.91</v>
      </c>
      <c r="BG12" s="8">
        <v>27.86</v>
      </c>
      <c r="BH12" s="8">
        <v>29.95</v>
      </c>
      <c r="BI12" s="8">
        <v>32.19</v>
      </c>
      <c r="BJ12" s="8">
        <v>34.61</v>
      </c>
      <c r="BK12" s="8">
        <v>37.2</v>
      </c>
      <c r="BL12" s="8">
        <v>39.99</v>
      </c>
      <c r="BM12" s="8">
        <v>42.99</v>
      </c>
      <c r="BN12" s="8">
        <v>46.22</v>
      </c>
      <c r="BO12" s="8">
        <v>49.68</v>
      </c>
      <c r="BP12" s="8">
        <v>53.41</v>
      </c>
      <c r="BQ12" s="8">
        <v>57.42</v>
      </c>
      <c r="BR12" s="8">
        <v>61.72</v>
      </c>
      <c r="BS12" s="8">
        <v>66.35</v>
      </c>
      <c r="BT12" s="8">
        <v>71.33</v>
      </c>
      <c r="BU12" s="8">
        <v>76.68</v>
      </c>
      <c r="BV12" s="8">
        <v>82.43</v>
      </c>
      <c r="CD12" s="1" t="s">
        <v>43</v>
      </c>
      <c r="CE12" s="6">
        <f>CE11*1.2</f>
        <v>3.233187403</v>
      </c>
      <c r="CG12" s="1">
        <v>1.265</v>
      </c>
      <c r="CH12" s="1">
        <v>1.265</v>
      </c>
      <c r="CI12" s="1">
        <v>1.265</v>
      </c>
      <c r="CJ12" s="1">
        <v>1.265</v>
      </c>
      <c r="CL12" s="1">
        <v>10.0</v>
      </c>
      <c r="CM12" s="1">
        <v>2.0</v>
      </c>
      <c r="CN12" s="1">
        <v>2.0</v>
      </c>
      <c r="CP12" s="1">
        <v>2.0</v>
      </c>
      <c r="CQ12" s="6">
        <f>1.4</f>
        <v>1.4</v>
      </c>
      <c r="CT12" s="1">
        <v>11.0</v>
      </c>
      <c r="CU12" s="6">
        <f t="shared" si="3"/>
        <v>1.5</v>
      </c>
    </row>
    <row r="13">
      <c r="A13" s="1">
        <v>12.0</v>
      </c>
      <c r="B13" s="1">
        <f t="shared" si="6"/>
        <v>1024</v>
      </c>
      <c r="D13" s="1" t="s">
        <v>171</v>
      </c>
      <c r="E13" s="1">
        <v>1.05</v>
      </c>
      <c r="F13" s="1">
        <v>1.16</v>
      </c>
      <c r="G13" s="1">
        <v>1.31</v>
      </c>
      <c r="H13" s="1">
        <v>1.47</v>
      </c>
      <c r="I13" s="1">
        <v>1.68</v>
      </c>
      <c r="J13" s="1">
        <v>1.94</v>
      </c>
      <c r="K13" s="1">
        <v>2.63</v>
      </c>
      <c r="Y13" s="1">
        <v>11.0</v>
      </c>
      <c r="Z13" s="6">
        <f t="shared" si="4"/>
        <v>1.22</v>
      </c>
      <c r="AA13" s="1">
        <v>1.28</v>
      </c>
      <c r="AB13" s="1">
        <v>1.28</v>
      </c>
      <c r="AC13" s="1">
        <v>1.28</v>
      </c>
      <c r="AM13" s="1" t="s">
        <v>80</v>
      </c>
      <c r="AN13" s="6">
        <v>3.9</v>
      </c>
      <c r="AO13" s="8">
        <v>4.19</v>
      </c>
      <c r="AP13" s="8">
        <v>4.51</v>
      </c>
      <c r="AQ13" s="8">
        <v>4.84</v>
      </c>
      <c r="AR13" s="8">
        <v>5.21</v>
      </c>
      <c r="AS13" s="8">
        <v>5.6</v>
      </c>
      <c r="AT13" s="8">
        <v>6.02</v>
      </c>
      <c r="AU13" s="8">
        <v>6.47</v>
      </c>
      <c r="AV13" s="8">
        <v>6.96</v>
      </c>
      <c r="AW13" s="8">
        <v>7.48</v>
      </c>
      <c r="AX13" s="8">
        <v>8.04</v>
      </c>
      <c r="AY13" s="8">
        <v>8.64</v>
      </c>
      <c r="AZ13" s="8">
        <v>9.29</v>
      </c>
      <c r="BA13" s="8">
        <v>9.99</v>
      </c>
      <c r="BB13" s="8">
        <v>10.73</v>
      </c>
      <c r="BC13" s="8">
        <v>11.54</v>
      </c>
      <c r="BD13" s="8">
        <v>12.41</v>
      </c>
      <c r="BE13" s="8">
        <v>13.34</v>
      </c>
      <c r="BF13" s="8">
        <v>14.34</v>
      </c>
      <c r="BG13" s="8">
        <v>15.41</v>
      </c>
      <c r="BH13" s="8">
        <v>16.57</v>
      </c>
      <c r="BI13" s="8">
        <v>17.81</v>
      </c>
      <c r="BJ13" s="8">
        <v>19.14</v>
      </c>
      <c r="BK13" s="8">
        <v>20.58</v>
      </c>
      <c r="BL13" s="8">
        <v>22.12</v>
      </c>
      <c r="BM13" s="8">
        <v>23.78</v>
      </c>
      <c r="BN13" s="8">
        <v>25.57</v>
      </c>
      <c r="BO13" s="8">
        <v>27.48</v>
      </c>
      <c r="BP13" s="8">
        <v>29.55</v>
      </c>
      <c r="BQ13" s="8">
        <v>31.76</v>
      </c>
      <c r="BR13" s="8">
        <v>34.14</v>
      </c>
      <c r="BS13" s="8">
        <v>36.71</v>
      </c>
      <c r="BT13" s="8">
        <v>39.46</v>
      </c>
      <c r="BU13" s="8">
        <v>42.42</v>
      </c>
      <c r="BV13" s="8">
        <v>45.6</v>
      </c>
      <c r="CD13" s="1" t="s">
        <v>81</v>
      </c>
      <c r="CI13" s="1">
        <v>1.265</v>
      </c>
      <c r="CJ13" s="1">
        <v>1.265</v>
      </c>
      <c r="CL13" s="1">
        <v>11.0</v>
      </c>
      <c r="CM13" s="1">
        <v>2.1</v>
      </c>
      <c r="CN13" s="1">
        <v>2.1</v>
      </c>
      <c r="CP13" s="1">
        <v>3.0</v>
      </c>
      <c r="CQ13" s="1">
        <f>1.6</f>
        <v>1.6</v>
      </c>
      <c r="CT13" s="1">
        <v>12.0</v>
      </c>
      <c r="CU13" s="6">
        <f t="shared" si="3"/>
        <v>1.55</v>
      </c>
    </row>
    <row r="14">
      <c r="A14" s="1">
        <v>13.0</v>
      </c>
      <c r="B14" s="1">
        <f t="shared" si="6"/>
        <v>2048</v>
      </c>
      <c r="D14" s="1" t="s">
        <v>61</v>
      </c>
      <c r="E14" s="1">
        <v>1.15</v>
      </c>
      <c r="F14" s="1">
        <v>1.26</v>
      </c>
      <c r="G14" s="1">
        <v>1.44</v>
      </c>
      <c r="H14" s="1">
        <v>1.61</v>
      </c>
      <c r="I14" s="1">
        <v>1.84</v>
      </c>
      <c r="J14" s="1">
        <v>2.13</v>
      </c>
      <c r="K14" s="1">
        <v>2.88</v>
      </c>
      <c r="Y14" s="1">
        <v>12.0</v>
      </c>
      <c r="Z14" s="6">
        <f t="shared" si="4"/>
        <v>1.24</v>
      </c>
      <c r="AA14" s="1">
        <v>1.3</v>
      </c>
      <c r="AB14" s="1">
        <v>1.3</v>
      </c>
      <c r="AC14" s="1">
        <v>1.3</v>
      </c>
      <c r="AM14" s="1" t="s">
        <v>85</v>
      </c>
      <c r="AN14" s="6">
        <v>4.4</v>
      </c>
      <c r="AO14" s="8">
        <v>4.73</v>
      </c>
      <c r="AP14" s="8">
        <v>5.08</v>
      </c>
      <c r="AQ14" s="8">
        <v>5.47</v>
      </c>
      <c r="AR14" s="8">
        <v>5.88</v>
      </c>
      <c r="AS14" s="8">
        <v>6.32</v>
      </c>
      <c r="AT14" s="8">
        <v>6.79</v>
      </c>
      <c r="AU14" s="8">
        <v>7.3</v>
      </c>
      <c r="AV14" s="8">
        <v>7.85</v>
      </c>
      <c r="AW14" s="8">
        <v>8.44</v>
      </c>
      <c r="AX14" s="8">
        <v>9.07</v>
      </c>
      <c r="AY14" s="8">
        <v>9.75</v>
      </c>
      <c r="AZ14" s="8">
        <v>10.48</v>
      </c>
      <c r="BA14" s="8">
        <v>11.27</v>
      </c>
      <c r="BB14" s="8">
        <v>12.11</v>
      </c>
      <c r="BC14" s="8">
        <v>13.02</v>
      </c>
      <c r="BD14" s="8">
        <v>14.0</v>
      </c>
      <c r="BE14" s="8">
        <v>15.05</v>
      </c>
      <c r="BF14" s="8">
        <v>16.17</v>
      </c>
      <c r="BG14" s="8">
        <v>17.39</v>
      </c>
      <c r="BH14" s="8">
        <v>18.69</v>
      </c>
      <c r="BI14" s="8">
        <v>20.09</v>
      </c>
      <c r="BJ14" s="8">
        <v>21.6</v>
      </c>
      <c r="BK14" s="8">
        <v>23.22</v>
      </c>
      <c r="BL14" s="8">
        <v>24.96</v>
      </c>
      <c r="BM14" s="8">
        <v>26.83</v>
      </c>
      <c r="BN14" s="8">
        <v>28.85</v>
      </c>
      <c r="BO14" s="8">
        <v>31.01</v>
      </c>
      <c r="BP14" s="8">
        <v>33.33</v>
      </c>
      <c r="BQ14" s="8">
        <v>35.83</v>
      </c>
      <c r="BR14" s="8">
        <v>38.52</v>
      </c>
      <c r="BS14" s="8">
        <v>41.41</v>
      </c>
      <c r="BT14" s="8">
        <v>44.52</v>
      </c>
      <c r="BU14" s="8">
        <v>47.86</v>
      </c>
      <c r="BV14" s="8">
        <v>51.44</v>
      </c>
      <c r="CD14" s="1" t="s">
        <v>86</v>
      </c>
      <c r="CI14" s="1">
        <v>1.265</v>
      </c>
      <c r="CJ14" s="1">
        <v>1.265</v>
      </c>
      <c r="CL14" s="1">
        <v>12.0</v>
      </c>
      <c r="CM14" s="1">
        <v>2.2</v>
      </c>
      <c r="CN14" s="1">
        <v>2.2</v>
      </c>
      <c r="CP14" s="1">
        <v>4.0</v>
      </c>
      <c r="CQ14" s="6">
        <f>1.8</f>
        <v>1.8</v>
      </c>
      <c r="CT14" s="1">
        <v>13.0</v>
      </c>
      <c r="CU14" s="6">
        <f t="shared" si="3"/>
        <v>1.6</v>
      </c>
    </row>
    <row r="15">
      <c r="A15" s="1">
        <v>14.0</v>
      </c>
      <c r="B15" s="1">
        <f t="shared" si="6"/>
        <v>4096</v>
      </c>
      <c r="D15" s="1" t="s">
        <v>172</v>
      </c>
      <c r="E15" s="1">
        <v>1.15</v>
      </c>
      <c r="F15" s="1">
        <v>1.26</v>
      </c>
      <c r="G15" s="1">
        <v>1.44</v>
      </c>
      <c r="H15" s="1">
        <v>1.61</v>
      </c>
      <c r="I15" s="1">
        <v>1.84</v>
      </c>
      <c r="J15" s="1">
        <v>2.13</v>
      </c>
      <c r="K15" s="1">
        <v>2.88</v>
      </c>
      <c r="Y15" s="1">
        <v>13.0</v>
      </c>
      <c r="Z15" s="6">
        <f t="shared" si="4"/>
        <v>1.26</v>
      </c>
      <c r="AA15" s="1">
        <v>1.33</v>
      </c>
      <c r="AB15" s="1">
        <v>1.33</v>
      </c>
      <c r="AC15" s="1">
        <v>1.33</v>
      </c>
      <c r="AM15" s="1" t="s">
        <v>91</v>
      </c>
      <c r="AN15" s="6">
        <v>10.5</v>
      </c>
      <c r="AO15" s="8">
        <v>11.29</v>
      </c>
      <c r="AP15" s="8">
        <v>12.13</v>
      </c>
      <c r="AQ15" s="8">
        <v>13.04</v>
      </c>
      <c r="AR15" s="8">
        <v>14.02</v>
      </c>
      <c r="AS15" s="8">
        <v>15.07</v>
      </c>
      <c r="AT15" s="8">
        <v>16.2</v>
      </c>
      <c r="AU15" s="8">
        <v>17.42</v>
      </c>
      <c r="AV15" s="8">
        <v>18.73</v>
      </c>
      <c r="AW15" s="8">
        <v>20.13</v>
      </c>
      <c r="AX15" s="8">
        <v>21.64</v>
      </c>
      <c r="AY15" s="8">
        <v>23.26</v>
      </c>
      <c r="AZ15" s="8">
        <v>25.01</v>
      </c>
      <c r="BA15" s="8">
        <v>26.88</v>
      </c>
      <c r="BB15" s="8">
        <v>28.9</v>
      </c>
      <c r="BC15" s="8">
        <v>31.07</v>
      </c>
      <c r="BD15" s="8">
        <v>33.4</v>
      </c>
      <c r="BE15" s="8">
        <v>35.9</v>
      </c>
      <c r="BF15" s="8">
        <v>38.6</v>
      </c>
      <c r="BG15" s="8">
        <v>41.49</v>
      </c>
      <c r="BH15" s="8">
        <v>44.6</v>
      </c>
      <c r="BI15" s="8">
        <v>47.95</v>
      </c>
      <c r="BJ15" s="8">
        <v>51.54</v>
      </c>
      <c r="BK15" s="8">
        <v>55.41</v>
      </c>
      <c r="BL15" s="8">
        <v>59.57</v>
      </c>
      <c r="BM15" s="8">
        <v>64.03</v>
      </c>
      <c r="BN15" s="8">
        <v>68.84</v>
      </c>
      <c r="BO15" s="8">
        <v>74.0</v>
      </c>
      <c r="BP15" s="8">
        <v>79.55</v>
      </c>
      <c r="BQ15" s="8">
        <v>85.51</v>
      </c>
      <c r="BR15" s="8">
        <v>91.93</v>
      </c>
      <c r="BS15" s="8">
        <v>98.82</v>
      </c>
      <c r="BT15" s="8">
        <v>106.23</v>
      </c>
      <c r="BU15" s="8">
        <v>114.2</v>
      </c>
      <c r="BV15" s="8">
        <v>122.77</v>
      </c>
      <c r="CD15" s="1" t="s">
        <v>92</v>
      </c>
      <c r="CI15" s="6">
        <f>CI14*1.2</f>
        <v>1.518</v>
      </c>
      <c r="CJ15" s="6">
        <v>1.5179999999999998</v>
      </c>
      <c r="CL15" s="1">
        <v>13.0</v>
      </c>
      <c r="CM15" s="1">
        <v>2.3</v>
      </c>
      <c r="CN15" s="1">
        <v>2.3</v>
      </c>
      <c r="CP15" s="1">
        <v>5.0</v>
      </c>
      <c r="CQ15" s="6">
        <f t="shared" ref="CQ15:CQ18" si="11">CQ14+0.25</f>
        <v>2.05</v>
      </c>
      <c r="CT15" s="1">
        <v>14.0</v>
      </c>
      <c r="CU15" s="6">
        <f t="shared" si="3"/>
        <v>1.65</v>
      </c>
    </row>
    <row r="16">
      <c r="A16" s="1">
        <v>15.0</v>
      </c>
      <c r="B16" s="1">
        <f t="shared" si="6"/>
        <v>8192</v>
      </c>
      <c r="D16" s="1" t="s">
        <v>56</v>
      </c>
      <c r="E16" s="1">
        <v>1.2</v>
      </c>
      <c r="F16" s="6">
        <f>E16+0.11</f>
        <v>1.31</v>
      </c>
      <c r="G16" s="6">
        <f>ROUND($E$16*1.25,2)</f>
        <v>1.5</v>
      </c>
      <c r="H16" s="6">
        <f>ROUND($E$16*1.4,2)</f>
        <v>1.68</v>
      </c>
      <c r="I16" s="6">
        <f>ROUND($E$16*1.6,2)</f>
        <v>1.92</v>
      </c>
      <c r="J16" s="6">
        <f>ROUND($E$16*1.85,2)</f>
        <v>2.22</v>
      </c>
      <c r="K16" s="6">
        <f>ROUND($E$16*2.5,2)</f>
        <v>3</v>
      </c>
      <c r="Y16" s="1">
        <v>14.0</v>
      </c>
      <c r="Z16" s="6">
        <f t="shared" si="4"/>
        <v>1.28</v>
      </c>
      <c r="AA16" s="1">
        <v>1.35</v>
      </c>
      <c r="AB16" s="1">
        <v>1.35</v>
      </c>
      <c r="AC16" s="1">
        <v>1.35</v>
      </c>
      <c r="AM16" s="1" t="s">
        <v>96</v>
      </c>
      <c r="AN16" s="6">
        <v>6.6</v>
      </c>
      <c r="AO16" s="8">
        <v>7.1</v>
      </c>
      <c r="AP16" s="8">
        <v>7.63</v>
      </c>
      <c r="AQ16" s="8">
        <v>8.2</v>
      </c>
      <c r="AR16" s="8">
        <v>8.81</v>
      </c>
      <c r="AS16" s="8">
        <v>9.48</v>
      </c>
      <c r="AT16" s="8">
        <v>10.19</v>
      </c>
      <c r="AU16" s="8">
        <v>10.95</v>
      </c>
      <c r="AV16" s="8">
        <v>11.77</v>
      </c>
      <c r="AW16" s="8">
        <v>12.65</v>
      </c>
      <c r="AX16" s="8">
        <v>13.6</v>
      </c>
      <c r="AY16" s="8">
        <v>14.62</v>
      </c>
      <c r="AZ16" s="8">
        <v>15.72</v>
      </c>
      <c r="BA16" s="8">
        <v>16.9</v>
      </c>
      <c r="BB16" s="8">
        <v>18.17</v>
      </c>
      <c r="BC16" s="8">
        <v>19.53</v>
      </c>
      <c r="BD16" s="8">
        <v>20.99</v>
      </c>
      <c r="BE16" s="8">
        <v>22.57</v>
      </c>
      <c r="BF16" s="8">
        <v>24.26</v>
      </c>
      <c r="BG16" s="8">
        <v>26.08</v>
      </c>
      <c r="BH16" s="8">
        <v>28.04</v>
      </c>
      <c r="BI16" s="8">
        <v>30.14</v>
      </c>
      <c r="BJ16" s="8">
        <v>32.4</v>
      </c>
      <c r="BK16" s="8">
        <v>34.83</v>
      </c>
      <c r="BL16" s="8">
        <v>37.44</v>
      </c>
      <c r="BM16" s="8">
        <v>40.25</v>
      </c>
      <c r="BN16" s="8">
        <v>43.27</v>
      </c>
      <c r="BO16" s="8">
        <v>46.51</v>
      </c>
      <c r="BP16" s="8">
        <v>50.0</v>
      </c>
      <c r="BQ16" s="8">
        <v>53.75</v>
      </c>
      <c r="BR16" s="8">
        <v>57.78</v>
      </c>
      <c r="BS16" s="8">
        <v>62.12</v>
      </c>
      <c r="BT16" s="8">
        <v>66.78</v>
      </c>
      <c r="BU16" s="8">
        <v>71.78</v>
      </c>
      <c r="BV16" s="8">
        <v>77.17</v>
      </c>
      <c r="CD16" s="1" t="s">
        <v>97</v>
      </c>
      <c r="CI16" s="6">
        <v>1.5179999999999998</v>
      </c>
      <c r="CJ16" s="6">
        <v>1.5179999999999998</v>
      </c>
      <c r="CL16" s="1">
        <v>14.0</v>
      </c>
      <c r="CM16" s="1">
        <v>2.4</v>
      </c>
      <c r="CN16" s="1">
        <v>2.4</v>
      </c>
      <c r="CP16" s="1">
        <v>6.0</v>
      </c>
      <c r="CQ16" s="6">
        <f t="shared" si="11"/>
        <v>2.3</v>
      </c>
      <c r="CT16" s="1">
        <v>15.0</v>
      </c>
      <c r="CU16" s="6">
        <f t="shared" si="3"/>
        <v>1.7</v>
      </c>
    </row>
    <row r="17">
      <c r="A17" s="1">
        <v>16.0</v>
      </c>
      <c r="B17" s="1">
        <f t="shared" si="6"/>
        <v>16384</v>
      </c>
      <c r="Y17" s="1">
        <v>15.0</v>
      </c>
      <c r="Z17" s="6">
        <f t="shared" si="4"/>
        <v>1.3</v>
      </c>
      <c r="AA17" s="1">
        <v>1.38</v>
      </c>
      <c r="AB17" s="1">
        <v>1.38</v>
      </c>
      <c r="AC17" s="1">
        <v>1.38</v>
      </c>
      <c r="AH17" s="1"/>
      <c r="AM17" s="1" t="s">
        <v>100</v>
      </c>
      <c r="AN17" s="6">
        <v>9.15</v>
      </c>
      <c r="AO17" s="8">
        <v>9.84</v>
      </c>
      <c r="AP17" s="8">
        <v>10.57</v>
      </c>
      <c r="AQ17" s="8">
        <v>11.37</v>
      </c>
      <c r="AR17" s="8">
        <v>12.22</v>
      </c>
      <c r="AS17" s="8">
        <v>13.14</v>
      </c>
      <c r="AT17" s="8">
        <v>14.12</v>
      </c>
      <c r="AU17" s="8">
        <v>15.18</v>
      </c>
      <c r="AV17" s="8">
        <v>16.32</v>
      </c>
      <c r="AW17" s="8">
        <v>17.54</v>
      </c>
      <c r="AX17" s="8">
        <v>18.86</v>
      </c>
      <c r="AY17" s="8">
        <v>20.27</v>
      </c>
      <c r="AZ17" s="8">
        <v>21.79</v>
      </c>
      <c r="BA17" s="8">
        <v>23.43</v>
      </c>
      <c r="BB17" s="8">
        <v>25.18</v>
      </c>
      <c r="BC17" s="8">
        <v>27.07</v>
      </c>
      <c r="BD17" s="8">
        <v>29.1</v>
      </c>
      <c r="BE17" s="8">
        <v>31.29</v>
      </c>
      <c r="BF17" s="8">
        <v>33.63</v>
      </c>
      <c r="BG17" s="8">
        <v>36.16</v>
      </c>
      <c r="BH17" s="8">
        <v>38.87</v>
      </c>
      <c r="BI17" s="8">
        <v>41.78</v>
      </c>
      <c r="BJ17" s="8">
        <v>44.92</v>
      </c>
      <c r="BK17" s="8">
        <v>48.29</v>
      </c>
      <c r="BL17" s="8">
        <v>51.91</v>
      </c>
      <c r="BM17" s="8">
        <v>55.8</v>
      </c>
      <c r="BN17" s="8">
        <v>59.98</v>
      </c>
      <c r="BO17" s="8">
        <v>64.48</v>
      </c>
      <c r="BP17" s="8">
        <v>69.32</v>
      </c>
      <c r="BQ17" s="8">
        <v>74.52</v>
      </c>
      <c r="BR17" s="8">
        <v>80.11</v>
      </c>
      <c r="BS17" s="8">
        <v>86.12</v>
      </c>
      <c r="BT17" s="8">
        <v>92.57</v>
      </c>
      <c r="BU17" s="8">
        <v>99.52</v>
      </c>
      <c r="BV17" s="8">
        <v>106.98</v>
      </c>
      <c r="CD17" s="1" t="s">
        <v>101</v>
      </c>
      <c r="CI17" s="6">
        <v>1.5179999999999998</v>
      </c>
      <c r="CJ17" s="6">
        <v>1.5179999999999998</v>
      </c>
      <c r="CL17" s="1">
        <v>15.0</v>
      </c>
      <c r="CM17" s="1">
        <v>2.5</v>
      </c>
      <c r="CN17" s="1">
        <v>2.5</v>
      </c>
      <c r="CP17" s="1">
        <v>7.0</v>
      </c>
      <c r="CQ17" s="6">
        <f t="shared" si="11"/>
        <v>2.55</v>
      </c>
      <c r="CT17" s="1">
        <v>16.0</v>
      </c>
      <c r="CU17" s="6">
        <f t="shared" si="3"/>
        <v>1.75</v>
      </c>
    </row>
    <row r="18">
      <c r="A18" s="1">
        <v>17.0</v>
      </c>
      <c r="B18" s="1">
        <f t="shared" si="6"/>
        <v>32768</v>
      </c>
      <c r="Y18" s="1">
        <v>16.0</v>
      </c>
      <c r="Z18" s="6">
        <f t="shared" si="4"/>
        <v>1.32</v>
      </c>
      <c r="AA18" s="1">
        <v>1.4</v>
      </c>
      <c r="AB18" s="1">
        <v>1.4</v>
      </c>
      <c r="AC18" s="1">
        <v>1.4</v>
      </c>
      <c r="AH18" s="1"/>
      <c r="AM18" s="1" t="s">
        <v>102</v>
      </c>
      <c r="AN18" s="6">
        <v>25.5</v>
      </c>
      <c r="AO18" s="8">
        <v>27.41</v>
      </c>
      <c r="AP18" s="8">
        <v>29.47</v>
      </c>
      <c r="AQ18" s="8">
        <v>31.68</v>
      </c>
      <c r="AR18" s="8">
        <v>34.05</v>
      </c>
      <c r="AS18" s="8">
        <v>36.61</v>
      </c>
      <c r="AT18" s="8">
        <v>39.35</v>
      </c>
      <c r="AU18" s="8">
        <v>42.31</v>
      </c>
      <c r="AV18" s="8">
        <v>45.48</v>
      </c>
      <c r="AW18" s="8">
        <v>48.89</v>
      </c>
      <c r="AX18" s="8">
        <v>52.56</v>
      </c>
      <c r="AY18" s="8">
        <v>56.5</v>
      </c>
      <c r="AZ18" s="8">
        <v>60.74</v>
      </c>
      <c r="BA18" s="8">
        <v>65.29</v>
      </c>
      <c r="BB18" s="8">
        <v>70.19</v>
      </c>
      <c r="BC18" s="8">
        <v>75.45</v>
      </c>
      <c r="BD18" s="8">
        <v>81.11</v>
      </c>
      <c r="BE18" s="8">
        <v>87.19</v>
      </c>
      <c r="BF18" s="8">
        <v>93.73</v>
      </c>
      <c r="BG18" s="8">
        <v>100.76</v>
      </c>
      <c r="BH18" s="8">
        <v>108.32</v>
      </c>
      <c r="BI18" s="8">
        <v>116.44</v>
      </c>
      <c r="BJ18" s="8">
        <v>125.18</v>
      </c>
      <c r="BK18" s="8">
        <v>134.57</v>
      </c>
      <c r="BL18" s="8">
        <v>144.66</v>
      </c>
      <c r="BM18" s="8">
        <v>155.51</v>
      </c>
      <c r="BN18" s="8">
        <v>167.17</v>
      </c>
      <c r="BO18" s="8">
        <v>179.71</v>
      </c>
      <c r="BP18" s="8">
        <v>193.19</v>
      </c>
      <c r="BQ18" s="8">
        <v>207.68</v>
      </c>
      <c r="BR18" s="8">
        <v>223.25</v>
      </c>
      <c r="BS18" s="8">
        <v>240.0</v>
      </c>
      <c r="BT18" s="8">
        <v>257.99</v>
      </c>
      <c r="BU18" s="8">
        <v>277.34</v>
      </c>
      <c r="BV18" s="8">
        <v>298.15</v>
      </c>
      <c r="CD18" s="1" t="s">
        <v>103</v>
      </c>
      <c r="CI18" s="6">
        <v>1.5179999999999998</v>
      </c>
      <c r="CJ18" s="6">
        <v>1.5179999999999998</v>
      </c>
      <c r="CL18" s="1">
        <v>16.0</v>
      </c>
      <c r="CM18" s="1">
        <v>2.6</v>
      </c>
      <c r="CN18" s="1">
        <v>2.6</v>
      </c>
      <c r="CP18" s="1">
        <v>8.0</v>
      </c>
      <c r="CQ18" s="6">
        <f t="shared" si="11"/>
        <v>2.8</v>
      </c>
      <c r="CT18" s="1">
        <v>17.0</v>
      </c>
      <c r="CU18" s="6">
        <f t="shared" si="3"/>
        <v>1.8</v>
      </c>
    </row>
    <row r="19">
      <c r="A19" s="1">
        <v>18.0</v>
      </c>
      <c r="B19" s="1">
        <f t="shared" si="6"/>
        <v>65536</v>
      </c>
      <c r="D19" s="1" t="s">
        <v>54</v>
      </c>
      <c r="E19" s="1">
        <v>3.28</v>
      </c>
      <c r="F19" s="1" t="s">
        <v>173</v>
      </c>
      <c r="H19" s="3" t="s">
        <v>174</v>
      </c>
      <c r="Y19" s="1">
        <v>17.0</v>
      </c>
      <c r="Z19" s="6">
        <f t="shared" si="4"/>
        <v>1.34</v>
      </c>
      <c r="AA19" s="1">
        <v>1.43</v>
      </c>
      <c r="AB19" s="1">
        <v>1.43</v>
      </c>
      <c r="AC19" s="1">
        <v>1.43</v>
      </c>
      <c r="AH19" s="1"/>
      <c r="AM19" s="1" t="s">
        <v>104</v>
      </c>
      <c r="AN19" s="1">
        <v>12.2</v>
      </c>
      <c r="AO19" s="7">
        <f t="shared" ref="AO19:BV19" si="12">ROUND($AN$19 * 1.075^(AO2-1), 2)</f>
        <v>13.12</v>
      </c>
      <c r="AP19" s="7">
        <f t="shared" si="12"/>
        <v>14.1</v>
      </c>
      <c r="AQ19" s="7">
        <f t="shared" si="12"/>
        <v>15.16</v>
      </c>
      <c r="AR19" s="7">
        <f t="shared" si="12"/>
        <v>16.29</v>
      </c>
      <c r="AS19" s="7">
        <f t="shared" si="12"/>
        <v>17.51</v>
      </c>
      <c r="AT19" s="7">
        <f t="shared" si="12"/>
        <v>18.83</v>
      </c>
      <c r="AU19" s="7">
        <f t="shared" si="12"/>
        <v>20.24</v>
      </c>
      <c r="AV19" s="7">
        <f t="shared" si="12"/>
        <v>21.76</v>
      </c>
      <c r="AW19" s="7">
        <f t="shared" si="12"/>
        <v>23.39</v>
      </c>
      <c r="AX19" s="7">
        <f t="shared" si="12"/>
        <v>25.14</v>
      </c>
      <c r="AY19" s="7">
        <f t="shared" si="12"/>
        <v>27.03</v>
      </c>
      <c r="AZ19" s="7">
        <f t="shared" si="12"/>
        <v>29.06</v>
      </c>
      <c r="BA19" s="7">
        <f t="shared" si="12"/>
        <v>31.24</v>
      </c>
      <c r="BB19" s="7">
        <f t="shared" si="12"/>
        <v>33.58</v>
      </c>
      <c r="BC19" s="7">
        <f t="shared" si="12"/>
        <v>36.1</v>
      </c>
      <c r="BD19" s="7">
        <f t="shared" si="12"/>
        <v>38.81</v>
      </c>
      <c r="BE19" s="7">
        <f t="shared" si="12"/>
        <v>41.72</v>
      </c>
      <c r="BF19" s="7">
        <f t="shared" si="12"/>
        <v>44.84</v>
      </c>
      <c r="BG19" s="7">
        <f t="shared" si="12"/>
        <v>48.21</v>
      </c>
      <c r="BH19" s="7">
        <f t="shared" si="12"/>
        <v>51.82</v>
      </c>
      <c r="BI19" s="7">
        <f t="shared" si="12"/>
        <v>55.71</v>
      </c>
      <c r="BJ19" s="7">
        <f t="shared" si="12"/>
        <v>59.89</v>
      </c>
      <c r="BK19" s="7">
        <f t="shared" si="12"/>
        <v>64.38</v>
      </c>
      <c r="BL19" s="7">
        <f t="shared" si="12"/>
        <v>69.21</v>
      </c>
      <c r="BM19" s="7">
        <f t="shared" si="12"/>
        <v>74.4</v>
      </c>
      <c r="BN19" s="7">
        <f t="shared" si="12"/>
        <v>79.98</v>
      </c>
      <c r="BO19" s="7">
        <f t="shared" si="12"/>
        <v>85.98</v>
      </c>
      <c r="BP19" s="7">
        <f t="shared" si="12"/>
        <v>92.43</v>
      </c>
      <c r="BQ19" s="7">
        <f t="shared" si="12"/>
        <v>99.36</v>
      </c>
      <c r="BR19" s="7">
        <f t="shared" si="12"/>
        <v>106.81</v>
      </c>
      <c r="BS19" s="7">
        <f t="shared" si="12"/>
        <v>114.82</v>
      </c>
      <c r="BT19" s="7">
        <f t="shared" si="12"/>
        <v>123.43</v>
      </c>
      <c r="BU19" s="7">
        <f t="shared" si="12"/>
        <v>132.69</v>
      </c>
      <c r="BV19" s="7">
        <f t="shared" si="12"/>
        <v>142.64</v>
      </c>
      <c r="CD19" s="1" t="s">
        <v>105</v>
      </c>
      <c r="CI19" s="6">
        <v>1.5179999999999998</v>
      </c>
      <c r="CJ19" s="6">
        <v>1.5179999999999998</v>
      </c>
      <c r="CL19" s="1">
        <v>17.0</v>
      </c>
      <c r="CM19" s="1">
        <v>2.7</v>
      </c>
      <c r="CN19" s="1">
        <v>2.7</v>
      </c>
      <c r="CP19" s="1">
        <v>9.0</v>
      </c>
      <c r="CQ19" s="6">
        <f t="shared" ref="CQ19:CQ20" si="14">CQ18+0.3</f>
        <v>3.1</v>
      </c>
      <c r="CT19" s="1">
        <v>18.0</v>
      </c>
      <c r="CU19" s="6">
        <f t="shared" si="3"/>
        <v>1.85</v>
      </c>
    </row>
    <row r="20">
      <c r="A20" s="1">
        <v>19.0</v>
      </c>
      <c r="B20" s="1">
        <f t="shared" si="6"/>
        <v>131072</v>
      </c>
      <c r="D20" s="1" t="s">
        <v>54</v>
      </c>
      <c r="E20" s="1">
        <v>3.75</v>
      </c>
      <c r="F20" s="1" t="s">
        <v>175</v>
      </c>
      <c r="H20" s="1" t="s">
        <v>23</v>
      </c>
      <c r="I20" s="1">
        <v>1.05</v>
      </c>
      <c r="Y20" s="1">
        <v>18.0</v>
      </c>
      <c r="Z20" s="6">
        <f t="shared" si="4"/>
        <v>1.36</v>
      </c>
      <c r="AA20" s="1">
        <v>1.45</v>
      </c>
      <c r="AB20" s="1">
        <v>1.45</v>
      </c>
      <c r="AC20" s="1">
        <v>1.45</v>
      </c>
      <c r="AH20" s="1"/>
      <c r="AM20" s="1" t="s">
        <v>106</v>
      </c>
      <c r="AN20" s="1">
        <v>15.4</v>
      </c>
      <c r="AO20" s="7">
        <f t="shared" ref="AO20:BV20" si="13">ROUND($AN$20 * 1.075^(AO2-1), 2)</f>
        <v>16.56</v>
      </c>
      <c r="AP20" s="7">
        <f t="shared" si="13"/>
        <v>17.8</v>
      </c>
      <c r="AQ20" s="7">
        <f t="shared" si="13"/>
        <v>19.13</v>
      </c>
      <c r="AR20" s="7">
        <f t="shared" si="13"/>
        <v>20.57</v>
      </c>
      <c r="AS20" s="7">
        <f t="shared" si="13"/>
        <v>22.11</v>
      </c>
      <c r="AT20" s="7">
        <f t="shared" si="13"/>
        <v>23.77</v>
      </c>
      <c r="AU20" s="7">
        <f t="shared" si="13"/>
        <v>25.55</v>
      </c>
      <c r="AV20" s="7">
        <f t="shared" si="13"/>
        <v>27.47</v>
      </c>
      <c r="AW20" s="7">
        <f t="shared" si="13"/>
        <v>29.53</v>
      </c>
      <c r="AX20" s="7">
        <f t="shared" si="13"/>
        <v>31.74</v>
      </c>
      <c r="AY20" s="7">
        <f t="shared" si="13"/>
        <v>34.12</v>
      </c>
      <c r="AZ20" s="7">
        <f t="shared" si="13"/>
        <v>36.68</v>
      </c>
      <c r="BA20" s="7">
        <f t="shared" si="13"/>
        <v>39.43</v>
      </c>
      <c r="BB20" s="7">
        <f t="shared" si="13"/>
        <v>42.39</v>
      </c>
      <c r="BC20" s="7">
        <f t="shared" si="13"/>
        <v>45.57</v>
      </c>
      <c r="BD20" s="7">
        <f t="shared" si="13"/>
        <v>48.98</v>
      </c>
      <c r="BE20" s="7">
        <f t="shared" si="13"/>
        <v>52.66</v>
      </c>
      <c r="BF20" s="7">
        <f t="shared" si="13"/>
        <v>56.61</v>
      </c>
      <c r="BG20" s="7">
        <f t="shared" si="13"/>
        <v>60.85</v>
      </c>
      <c r="BH20" s="7">
        <f t="shared" si="13"/>
        <v>65.42</v>
      </c>
      <c r="BI20" s="7">
        <f t="shared" si="13"/>
        <v>70.32</v>
      </c>
      <c r="BJ20" s="7">
        <f t="shared" si="13"/>
        <v>75.6</v>
      </c>
      <c r="BK20" s="7">
        <f t="shared" si="13"/>
        <v>81.27</v>
      </c>
      <c r="BL20" s="7">
        <f t="shared" si="13"/>
        <v>87.36</v>
      </c>
      <c r="BM20" s="7">
        <f t="shared" si="13"/>
        <v>93.91</v>
      </c>
      <c r="BN20" s="7">
        <f t="shared" si="13"/>
        <v>100.96</v>
      </c>
      <c r="BO20" s="7">
        <f t="shared" si="13"/>
        <v>108.53</v>
      </c>
      <c r="BP20" s="7">
        <f t="shared" si="13"/>
        <v>116.67</v>
      </c>
      <c r="BQ20" s="7">
        <f t="shared" si="13"/>
        <v>125.42</v>
      </c>
      <c r="BR20" s="7">
        <f t="shared" si="13"/>
        <v>134.83</v>
      </c>
      <c r="BS20" s="7">
        <f t="shared" si="13"/>
        <v>144.94</v>
      </c>
      <c r="BT20" s="7">
        <f t="shared" si="13"/>
        <v>155.81</v>
      </c>
      <c r="BU20" s="7">
        <f t="shared" si="13"/>
        <v>167.49</v>
      </c>
      <c r="BV20" s="7">
        <f t="shared" si="13"/>
        <v>180.06</v>
      </c>
      <c r="CD20" s="1" t="s">
        <v>107</v>
      </c>
      <c r="CI20" s="6">
        <f>CI19*1.25</f>
        <v>1.8975</v>
      </c>
      <c r="CJ20" s="6">
        <v>1.8974999999999997</v>
      </c>
      <c r="CL20" s="1">
        <v>18.0</v>
      </c>
      <c r="CM20" s="1">
        <v>2.8</v>
      </c>
      <c r="CN20" s="1">
        <v>2.8</v>
      </c>
      <c r="CP20" s="1">
        <v>10.0</v>
      </c>
      <c r="CQ20" s="6">
        <f t="shared" si="14"/>
        <v>3.4</v>
      </c>
      <c r="CT20" s="1">
        <v>19.0</v>
      </c>
      <c r="CU20" s="6">
        <f t="shared" si="3"/>
        <v>1.9</v>
      </c>
    </row>
    <row r="21">
      <c r="A21" s="1">
        <v>20.0</v>
      </c>
      <c r="B21" s="1">
        <f t="shared" si="6"/>
        <v>262144</v>
      </c>
      <c r="D21" s="1" t="s">
        <v>54</v>
      </c>
      <c r="E21" s="1">
        <v>3.44</v>
      </c>
      <c r="F21" s="1" t="s">
        <v>176</v>
      </c>
      <c r="H21" s="1" t="s">
        <v>27</v>
      </c>
      <c r="I21" s="1">
        <v>1.1</v>
      </c>
      <c r="Y21" s="1">
        <v>19.0</v>
      </c>
      <c r="Z21" s="6">
        <f t="shared" si="4"/>
        <v>1.38</v>
      </c>
      <c r="AA21" s="1">
        <v>1.48</v>
      </c>
      <c r="AB21" s="1">
        <v>1.48</v>
      </c>
      <c r="AC21" s="1">
        <v>1.48</v>
      </c>
      <c r="AH21" s="1"/>
      <c r="AM21" s="1" t="s">
        <v>111</v>
      </c>
      <c r="AN21" s="1">
        <v>55.25</v>
      </c>
      <c r="AO21" s="7">
        <f t="shared" ref="AO21:BV21" si="15">ROUND($AN$21 * 1.075^(AO2-1), 2)</f>
        <v>59.39</v>
      </c>
      <c r="AP21" s="7">
        <f t="shared" si="15"/>
        <v>63.85</v>
      </c>
      <c r="AQ21" s="7">
        <f t="shared" si="15"/>
        <v>68.64</v>
      </c>
      <c r="AR21" s="7">
        <f t="shared" si="15"/>
        <v>73.78</v>
      </c>
      <c r="AS21" s="7">
        <f t="shared" si="15"/>
        <v>79.32</v>
      </c>
      <c r="AT21" s="7">
        <f t="shared" si="15"/>
        <v>85.27</v>
      </c>
      <c r="AU21" s="7">
        <f t="shared" si="15"/>
        <v>91.66</v>
      </c>
      <c r="AV21" s="7">
        <f t="shared" si="15"/>
        <v>98.54</v>
      </c>
      <c r="AW21" s="7">
        <f t="shared" si="15"/>
        <v>105.93</v>
      </c>
      <c r="AX21" s="7">
        <f t="shared" si="15"/>
        <v>113.87</v>
      </c>
      <c r="AY21" s="7">
        <f t="shared" si="15"/>
        <v>122.41</v>
      </c>
      <c r="AZ21" s="7">
        <f t="shared" si="15"/>
        <v>131.59</v>
      </c>
      <c r="BA21" s="7">
        <f t="shared" si="15"/>
        <v>141.46</v>
      </c>
      <c r="BB21" s="7">
        <f t="shared" si="15"/>
        <v>152.07</v>
      </c>
      <c r="BC21" s="7">
        <f t="shared" si="15"/>
        <v>163.48</v>
      </c>
      <c r="BD21" s="7">
        <f t="shared" si="15"/>
        <v>175.74</v>
      </c>
      <c r="BE21" s="7">
        <f t="shared" si="15"/>
        <v>188.92</v>
      </c>
      <c r="BF21" s="7">
        <f t="shared" si="15"/>
        <v>203.09</v>
      </c>
      <c r="BG21" s="7">
        <f t="shared" si="15"/>
        <v>218.32</v>
      </c>
      <c r="BH21" s="7">
        <f t="shared" si="15"/>
        <v>234.69</v>
      </c>
      <c r="BI21" s="7">
        <f t="shared" si="15"/>
        <v>252.3</v>
      </c>
      <c r="BJ21" s="7">
        <f t="shared" si="15"/>
        <v>271.22</v>
      </c>
      <c r="BK21" s="7">
        <f t="shared" si="15"/>
        <v>291.56</v>
      </c>
      <c r="BL21" s="7">
        <f t="shared" si="15"/>
        <v>313.43</v>
      </c>
      <c r="BM21" s="7">
        <f t="shared" si="15"/>
        <v>336.93</v>
      </c>
      <c r="BN21" s="7">
        <f t="shared" si="15"/>
        <v>362.2</v>
      </c>
      <c r="BO21" s="7">
        <f t="shared" si="15"/>
        <v>389.37</v>
      </c>
      <c r="BP21" s="7">
        <f t="shared" si="15"/>
        <v>418.57</v>
      </c>
      <c r="BQ21" s="7">
        <f t="shared" si="15"/>
        <v>449.96</v>
      </c>
      <c r="BR21" s="7">
        <f t="shared" si="15"/>
        <v>483.71</v>
      </c>
      <c r="BS21" s="7">
        <f t="shared" si="15"/>
        <v>519.99</v>
      </c>
      <c r="BT21" s="7">
        <f t="shared" si="15"/>
        <v>558.99</v>
      </c>
      <c r="BU21" s="7">
        <f t="shared" si="15"/>
        <v>600.91</v>
      </c>
      <c r="BV21" s="7">
        <f t="shared" si="15"/>
        <v>645.98</v>
      </c>
      <c r="CD21" s="1" t="s">
        <v>112</v>
      </c>
      <c r="CI21" s="6">
        <v>1.8974999999999997</v>
      </c>
      <c r="CJ21" s="6">
        <v>1.8974999999999997</v>
      </c>
      <c r="CL21" s="1">
        <v>19.0</v>
      </c>
      <c r="CM21" s="1">
        <v>2.9</v>
      </c>
      <c r="CN21" s="1">
        <v>2.9</v>
      </c>
      <c r="CT21" s="1">
        <v>20.0</v>
      </c>
      <c r="CU21" s="6">
        <f t="shared" si="3"/>
        <v>1.95</v>
      </c>
    </row>
    <row r="22">
      <c r="A22" s="1">
        <v>21.0</v>
      </c>
      <c r="B22" s="1">
        <f t="shared" si="6"/>
        <v>524288</v>
      </c>
      <c r="D22" s="1" t="s">
        <v>54</v>
      </c>
      <c r="E22" s="1">
        <v>3.59</v>
      </c>
      <c r="F22" s="1" t="s">
        <v>177</v>
      </c>
      <c r="H22" s="1" t="s">
        <v>36</v>
      </c>
      <c r="I22" s="1">
        <v>1.15</v>
      </c>
      <c r="Y22" s="1">
        <v>20.0</v>
      </c>
      <c r="Z22" s="6">
        <f t="shared" si="4"/>
        <v>1.4</v>
      </c>
      <c r="AA22" s="1">
        <v>1.5</v>
      </c>
      <c r="AB22" s="1">
        <v>1.5</v>
      </c>
      <c r="AC22" s="1">
        <v>1.5</v>
      </c>
      <c r="AH22" s="1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3"/>
      <c r="BX22" s="3"/>
      <c r="BY22" s="3"/>
      <c r="BZ22" s="3"/>
      <c r="CA22" s="3"/>
      <c r="CB22" s="3"/>
      <c r="CD22" s="1" t="s">
        <v>70</v>
      </c>
      <c r="CI22" s="6">
        <v>1.8974999999999997</v>
      </c>
      <c r="CJ22" s="6">
        <v>1.8974999999999997</v>
      </c>
      <c r="CL22" s="1">
        <v>20.0</v>
      </c>
      <c r="CM22" s="1">
        <v>3.0</v>
      </c>
      <c r="CN22" s="1">
        <v>3.0</v>
      </c>
      <c r="CT22" s="1">
        <v>21.0</v>
      </c>
      <c r="CU22" s="6">
        <f t="shared" si="3"/>
        <v>2</v>
      </c>
    </row>
    <row r="23">
      <c r="A23" s="1">
        <v>22.0</v>
      </c>
      <c r="B23" s="1">
        <f t="shared" si="6"/>
        <v>1048576</v>
      </c>
      <c r="D23" s="1" t="s">
        <v>54</v>
      </c>
      <c r="E23" s="1">
        <v>3.44</v>
      </c>
      <c r="F23" s="1" t="s">
        <v>178</v>
      </c>
      <c r="H23" s="1" t="s">
        <v>46</v>
      </c>
      <c r="I23" s="1">
        <v>1.2</v>
      </c>
      <c r="Y23" s="1">
        <v>21.0</v>
      </c>
      <c r="Z23" s="6">
        <f t="shared" si="4"/>
        <v>1.42</v>
      </c>
      <c r="AA23" s="1">
        <v>1.53</v>
      </c>
      <c r="AB23" s="1">
        <v>1.53</v>
      </c>
      <c r="AC23" s="1">
        <v>1.53</v>
      </c>
      <c r="AH23" s="1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CT23" s="1">
        <v>22.0</v>
      </c>
      <c r="CU23" s="6">
        <f t="shared" si="3"/>
        <v>2.05</v>
      </c>
    </row>
    <row r="24">
      <c r="A24" s="1">
        <v>23.0</v>
      </c>
      <c r="B24" s="1">
        <f t="shared" si="6"/>
        <v>2097152</v>
      </c>
      <c r="H24" s="1" t="s">
        <v>54</v>
      </c>
      <c r="I24" s="1">
        <v>1.25</v>
      </c>
      <c r="Y24" s="1">
        <v>22.0</v>
      </c>
      <c r="Z24" s="6">
        <f t="shared" si="4"/>
        <v>1.44</v>
      </c>
      <c r="AA24" s="1">
        <v>1.55</v>
      </c>
      <c r="AB24" s="1">
        <v>1.55</v>
      </c>
      <c r="AC24" s="1">
        <v>1.55</v>
      </c>
      <c r="AH24" s="1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CT24" s="1">
        <v>23.0</v>
      </c>
      <c r="CU24" s="6">
        <f t="shared" si="3"/>
        <v>2.1</v>
      </c>
    </row>
    <row r="25">
      <c r="A25" s="1">
        <v>24.0</v>
      </c>
      <c r="B25" s="1">
        <f t="shared" si="6"/>
        <v>4194304</v>
      </c>
      <c r="Y25" s="1">
        <v>23.0</v>
      </c>
      <c r="Z25" s="6">
        <f t="shared" si="4"/>
        <v>1.46</v>
      </c>
      <c r="AA25" s="1">
        <v>1.58</v>
      </c>
      <c r="AB25" s="1">
        <v>1.58</v>
      </c>
      <c r="AC25" s="1">
        <v>1.58</v>
      </c>
      <c r="AH25" s="1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CT25" s="1">
        <v>24.0</v>
      </c>
      <c r="CU25" s="6">
        <f t="shared" si="3"/>
        <v>2.15</v>
      </c>
    </row>
    <row r="26">
      <c r="A26" s="1">
        <v>25.0</v>
      </c>
      <c r="B26" s="1">
        <f t="shared" si="6"/>
        <v>8388608</v>
      </c>
      <c r="Y26" s="1">
        <v>24.0</v>
      </c>
      <c r="Z26" s="6">
        <f t="shared" si="4"/>
        <v>1.48</v>
      </c>
      <c r="AA26" s="1">
        <v>1.6</v>
      </c>
      <c r="AB26" s="1">
        <v>1.6</v>
      </c>
      <c r="AC26" s="1">
        <v>1.6</v>
      </c>
      <c r="AH26" s="1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CT26" s="1">
        <v>25.0</v>
      </c>
      <c r="CU26" s="6">
        <f t="shared" si="3"/>
        <v>2.2</v>
      </c>
    </row>
    <row r="27">
      <c r="A27" s="1">
        <v>26.0</v>
      </c>
      <c r="B27" s="1">
        <v>1.68E7</v>
      </c>
      <c r="Y27" s="1">
        <v>25.0</v>
      </c>
      <c r="Z27" s="6">
        <f t="shared" si="4"/>
        <v>1.5</v>
      </c>
      <c r="AA27" s="1">
        <v>1.63</v>
      </c>
      <c r="AB27" s="1">
        <v>1.63</v>
      </c>
      <c r="AC27" s="1">
        <v>1.63</v>
      </c>
      <c r="AH27" s="1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10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2"/>
      <c r="BY27" s="12"/>
      <c r="CT27" s="1">
        <v>26.0</v>
      </c>
      <c r="CU27" s="6">
        <f t="shared" si="3"/>
        <v>2.25</v>
      </c>
    </row>
    <row r="28">
      <c r="A28" s="1">
        <v>27.0</v>
      </c>
      <c r="B28" s="1">
        <f t="shared" ref="B28:B30" si="16">B27*2</f>
        <v>33600000</v>
      </c>
      <c r="Y28" s="1">
        <v>26.0</v>
      </c>
      <c r="Z28" s="6">
        <f t="shared" si="4"/>
        <v>1.52</v>
      </c>
      <c r="AA28" s="1">
        <v>1.65</v>
      </c>
      <c r="AB28" s="1">
        <v>1.65</v>
      </c>
      <c r="AC28" s="1">
        <v>1.65</v>
      </c>
      <c r="AH28" s="1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CT28" s="1">
        <v>27.0</v>
      </c>
      <c r="CU28" s="6">
        <f t="shared" si="3"/>
        <v>2.3</v>
      </c>
    </row>
    <row r="29">
      <c r="A29" s="1">
        <v>28.0</v>
      </c>
      <c r="B29" s="1">
        <f t="shared" si="16"/>
        <v>67200000</v>
      </c>
      <c r="Y29" s="1">
        <v>27.0</v>
      </c>
      <c r="Z29" s="6">
        <f t="shared" si="4"/>
        <v>1.54</v>
      </c>
      <c r="AA29" s="1">
        <v>1.68</v>
      </c>
      <c r="AB29" s="1">
        <v>1.68</v>
      </c>
      <c r="AC29" s="1">
        <v>1.68</v>
      </c>
      <c r="AH29" s="1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CT29" s="1">
        <v>28.0</v>
      </c>
      <c r="CU29" s="6">
        <f t="shared" si="3"/>
        <v>2.35</v>
      </c>
    </row>
    <row r="30">
      <c r="A30" s="1">
        <v>29.0</v>
      </c>
      <c r="B30" s="1">
        <f t="shared" si="16"/>
        <v>134400000</v>
      </c>
      <c r="Y30" s="1">
        <v>28.0</v>
      </c>
      <c r="Z30" s="6">
        <f t="shared" si="4"/>
        <v>1.56</v>
      </c>
      <c r="AA30" s="1">
        <v>1.7</v>
      </c>
      <c r="AB30" s="1">
        <v>1.7</v>
      </c>
      <c r="AC30" s="1">
        <v>1.7</v>
      </c>
      <c r="AH30" s="1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CT30" s="1">
        <v>29.0</v>
      </c>
      <c r="CU30" s="6">
        <f t="shared" si="3"/>
        <v>2.4</v>
      </c>
    </row>
    <row r="31">
      <c r="A31" s="1">
        <v>30.0</v>
      </c>
      <c r="B31" s="1">
        <v>5.376E8</v>
      </c>
      <c r="Y31" s="1">
        <v>29.0</v>
      </c>
      <c r="Z31" s="6">
        <f t="shared" si="4"/>
        <v>1.58</v>
      </c>
      <c r="AA31" s="1">
        <v>1.73</v>
      </c>
      <c r="AB31" s="1">
        <v>1.73</v>
      </c>
      <c r="AC31" s="1">
        <v>1.73</v>
      </c>
      <c r="AH31" s="1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CT31" s="1">
        <v>30.0</v>
      </c>
      <c r="CU31" s="6">
        <f t="shared" si="3"/>
        <v>2.45</v>
      </c>
    </row>
    <row r="32">
      <c r="A32" s="1">
        <v>31.0</v>
      </c>
      <c r="B32" s="1">
        <f>B31*2</f>
        <v>1075200000</v>
      </c>
      <c r="Y32" s="1">
        <v>30.0</v>
      </c>
      <c r="Z32" s="6">
        <f t="shared" si="4"/>
        <v>1.6</v>
      </c>
      <c r="AA32" s="1">
        <v>1.75</v>
      </c>
      <c r="AB32" s="1">
        <v>1.75</v>
      </c>
      <c r="AC32" s="1">
        <v>1.75</v>
      </c>
      <c r="AH32" s="1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CT32" s="1">
        <v>31.0</v>
      </c>
      <c r="CU32" s="6">
        <f t="shared" si="3"/>
        <v>2.5</v>
      </c>
    </row>
    <row r="33">
      <c r="A33" s="1">
        <v>32.0</v>
      </c>
      <c r="B33" s="1">
        <v>2.15E9</v>
      </c>
      <c r="Y33" s="1">
        <v>31.0</v>
      </c>
      <c r="Z33" s="6">
        <f t="shared" si="4"/>
        <v>1.62</v>
      </c>
      <c r="AA33" s="1">
        <v>1.78</v>
      </c>
      <c r="AB33" s="1">
        <v>1.78</v>
      </c>
      <c r="AC33" s="1">
        <v>1.78</v>
      </c>
      <c r="AH33" s="1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CT33" s="1">
        <v>32.0</v>
      </c>
      <c r="CU33" s="6">
        <f t="shared" si="3"/>
        <v>2.55</v>
      </c>
    </row>
    <row r="34">
      <c r="A34" s="1">
        <v>33.0</v>
      </c>
      <c r="B34" s="1">
        <v>4.31E9</v>
      </c>
      <c r="Y34" s="1">
        <v>32.0</v>
      </c>
      <c r="Z34" s="6">
        <f t="shared" si="4"/>
        <v>1.64</v>
      </c>
      <c r="AA34" s="1">
        <v>1.8</v>
      </c>
      <c r="AB34" s="1">
        <v>1.8</v>
      </c>
      <c r="AC34" s="1">
        <v>1.8</v>
      </c>
      <c r="AH34" s="1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CT34" s="1">
        <v>33.0</v>
      </c>
      <c r="CU34" s="6">
        <f t="shared" si="3"/>
        <v>2.6</v>
      </c>
    </row>
    <row r="35">
      <c r="A35" s="1">
        <v>34.0</v>
      </c>
      <c r="B35" s="6">
        <f>B34*2</f>
        <v>8620000000</v>
      </c>
      <c r="Y35" s="1">
        <v>33.0</v>
      </c>
      <c r="Z35" s="6">
        <f t="shared" si="4"/>
        <v>1.66</v>
      </c>
      <c r="AA35" s="1">
        <v>1.83</v>
      </c>
      <c r="AB35" s="1">
        <v>1.83</v>
      </c>
      <c r="AC35" s="1">
        <v>1.83</v>
      </c>
      <c r="AH35" s="1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CT35" s="1">
        <v>34.0</v>
      </c>
      <c r="CU35" s="6">
        <f t="shared" si="3"/>
        <v>2.65</v>
      </c>
    </row>
    <row r="36">
      <c r="A36" s="1">
        <v>35.0</v>
      </c>
      <c r="B36" s="1">
        <v>1.724E10</v>
      </c>
      <c r="Y36" s="1">
        <v>34.0</v>
      </c>
      <c r="Z36" s="6">
        <f t="shared" si="4"/>
        <v>1.68</v>
      </c>
      <c r="AA36" s="1">
        <v>1.85</v>
      </c>
      <c r="AB36" s="1">
        <v>1.85</v>
      </c>
      <c r="AC36" s="1">
        <v>1.85</v>
      </c>
      <c r="AH36" s="1"/>
      <c r="CT36" s="1">
        <v>35.0</v>
      </c>
      <c r="CU36" s="6">
        <f t="shared" si="3"/>
        <v>2.7</v>
      </c>
    </row>
    <row r="37">
      <c r="A37" s="1">
        <v>36.0</v>
      </c>
      <c r="B37" s="1">
        <v>3.448E10</v>
      </c>
      <c r="Y37" s="1">
        <v>35.0</v>
      </c>
      <c r="Z37" s="6">
        <f t="shared" si="4"/>
        <v>1.7</v>
      </c>
      <c r="AA37" s="1">
        <v>1.88</v>
      </c>
      <c r="AB37" s="1">
        <v>1.88</v>
      </c>
      <c r="AC37" s="1">
        <v>1.88</v>
      </c>
      <c r="AH37" s="1"/>
      <c r="CT37" s="1">
        <v>36.0</v>
      </c>
      <c r="CU37" s="6">
        <f t="shared" si="3"/>
        <v>2.75</v>
      </c>
    </row>
    <row r="38">
      <c r="Y38" s="1">
        <v>36.0</v>
      </c>
      <c r="Z38" s="6">
        <f t="shared" si="4"/>
        <v>1.72</v>
      </c>
      <c r="AA38" s="1">
        <v>1.9</v>
      </c>
      <c r="AB38" s="1">
        <v>1.9</v>
      </c>
      <c r="AC38" s="1">
        <v>1.9</v>
      </c>
      <c r="AH38" s="1"/>
      <c r="CT38" s="1">
        <v>37.0</v>
      </c>
      <c r="CU38" s="6">
        <f t="shared" si="3"/>
        <v>2.8</v>
      </c>
    </row>
    <row r="39">
      <c r="Y39" s="1">
        <v>37.0</v>
      </c>
      <c r="Z39" s="6">
        <f t="shared" si="4"/>
        <v>1.74</v>
      </c>
      <c r="AA39" s="1">
        <v>1.93</v>
      </c>
      <c r="AB39" s="1">
        <v>1.93</v>
      </c>
      <c r="AC39" s="1">
        <v>1.93</v>
      </c>
      <c r="AH39" s="1"/>
      <c r="CT39" s="1">
        <v>38.0</v>
      </c>
      <c r="CU39" s="6">
        <f t="shared" si="3"/>
        <v>2.85</v>
      </c>
    </row>
    <row r="40">
      <c r="Y40" s="1">
        <v>38.0</v>
      </c>
      <c r="Z40" s="6">
        <f t="shared" si="4"/>
        <v>1.76</v>
      </c>
      <c r="AA40" s="1">
        <v>1.95</v>
      </c>
      <c r="AB40" s="1">
        <v>1.95</v>
      </c>
      <c r="AC40" s="1">
        <v>1.95</v>
      </c>
      <c r="AH40" s="1"/>
      <c r="CT40" s="1">
        <v>39.0</v>
      </c>
      <c r="CU40" s="6">
        <f t="shared" si="3"/>
        <v>2.9</v>
      </c>
    </row>
    <row r="41">
      <c r="Y41" s="1">
        <v>39.0</v>
      </c>
      <c r="Z41" s="6">
        <f t="shared" si="4"/>
        <v>1.78</v>
      </c>
      <c r="AA41" s="1">
        <v>1.98</v>
      </c>
      <c r="AB41" s="1">
        <v>1.98</v>
      </c>
      <c r="AC41" s="1">
        <v>1.98</v>
      </c>
      <c r="AH41" s="1"/>
      <c r="CT41" s="1">
        <v>40.0</v>
      </c>
      <c r="CU41" s="6">
        <f t="shared" si="3"/>
        <v>2.95</v>
      </c>
    </row>
    <row r="42">
      <c r="Y42" s="1">
        <v>40.0</v>
      </c>
      <c r="Z42" s="6">
        <f t="shared" si="4"/>
        <v>1.8</v>
      </c>
      <c r="AA42" s="1">
        <v>2.0</v>
      </c>
      <c r="AB42" s="1">
        <v>2.0</v>
      </c>
      <c r="AC42" s="1">
        <v>2.0</v>
      </c>
      <c r="AH42" s="1"/>
      <c r="CT42" s="1">
        <v>41.0</v>
      </c>
      <c r="CU42" s="6">
        <f t="shared" si="3"/>
        <v>3</v>
      </c>
    </row>
    <row r="43">
      <c r="Y43" s="1">
        <v>41.0</v>
      </c>
      <c r="Z43" s="6">
        <f t="shared" si="4"/>
        <v>1.82</v>
      </c>
      <c r="AA43" s="1">
        <v>2.03</v>
      </c>
      <c r="AB43" s="1">
        <v>2.03</v>
      </c>
      <c r="AC43" s="1">
        <v>2.03</v>
      </c>
      <c r="AH43" s="1"/>
      <c r="CT43" s="1">
        <v>42.0</v>
      </c>
      <c r="CU43" s="6">
        <f t="shared" si="3"/>
        <v>3.05</v>
      </c>
    </row>
    <row r="44">
      <c r="Y44" s="1">
        <v>42.0</v>
      </c>
      <c r="Z44" s="6">
        <f t="shared" si="4"/>
        <v>1.84</v>
      </c>
      <c r="AA44" s="1">
        <v>2.05</v>
      </c>
      <c r="AB44" s="1">
        <v>2.05</v>
      </c>
      <c r="AC44" s="1">
        <v>2.05</v>
      </c>
      <c r="AH44" s="1"/>
      <c r="CT44" s="1">
        <v>43.0</v>
      </c>
      <c r="CU44" s="6">
        <f t="shared" si="3"/>
        <v>3.1</v>
      </c>
    </row>
    <row r="45">
      <c r="Y45" s="1">
        <v>43.0</v>
      </c>
      <c r="Z45" s="6">
        <f t="shared" si="4"/>
        <v>1.86</v>
      </c>
      <c r="AA45" s="1">
        <v>2.08</v>
      </c>
      <c r="AB45" s="1">
        <v>2.08</v>
      </c>
      <c r="AC45" s="1">
        <v>2.08</v>
      </c>
      <c r="AH45" s="1"/>
      <c r="CT45" s="1">
        <v>44.0</v>
      </c>
      <c r="CU45" s="6">
        <f t="shared" si="3"/>
        <v>3.15</v>
      </c>
    </row>
    <row r="46">
      <c r="Y46" s="1">
        <v>44.0</v>
      </c>
      <c r="Z46" s="6">
        <f t="shared" si="4"/>
        <v>1.88</v>
      </c>
      <c r="AA46" s="1">
        <v>2.1</v>
      </c>
      <c r="AB46" s="1">
        <v>2.1</v>
      </c>
      <c r="AC46" s="1">
        <v>2.1</v>
      </c>
      <c r="AH46" s="1"/>
      <c r="CT46" s="1">
        <v>45.0</v>
      </c>
      <c r="CU46" s="6">
        <f t="shared" si="3"/>
        <v>3.2</v>
      </c>
    </row>
    <row r="47">
      <c r="Y47" s="1">
        <v>45.0</v>
      </c>
      <c r="Z47" s="6">
        <f t="shared" si="4"/>
        <v>1.9</v>
      </c>
      <c r="AA47" s="1">
        <v>2.13</v>
      </c>
      <c r="AB47" s="1">
        <v>2.13</v>
      </c>
      <c r="AC47" s="1">
        <v>2.13</v>
      </c>
      <c r="AH47" s="1"/>
      <c r="CT47" s="1">
        <v>46.0</v>
      </c>
      <c r="CU47" s="6">
        <f t="shared" si="3"/>
        <v>3.25</v>
      </c>
    </row>
    <row r="48">
      <c r="Y48" s="1">
        <v>46.0</v>
      </c>
      <c r="Z48" s="6">
        <f t="shared" si="4"/>
        <v>1.92</v>
      </c>
      <c r="AA48" s="1">
        <v>2.15</v>
      </c>
      <c r="AB48" s="1">
        <v>2.15</v>
      </c>
      <c r="AC48" s="1">
        <v>2.15</v>
      </c>
      <c r="AH48" s="1"/>
      <c r="CT48" s="1">
        <v>47.0</v>
      </c>
      <c r="CU48" s="6">
        <f t="shared" si="3"/>
        <v>3.3</v>
      </c>
    </row>
    <row r="49">
      <c r="Y49" s="1">
        <v>47.0</v>
      </c>
      <c r="Z49" s="6">
        <f t="shared" si="4"/>
        <v>1.94</v>
      </c>
      <c r="AA49" s="1">
        <v>2.18</v>
      </c>
      <c r="AB49" s="1">
        <v>2.18</v>
      </c>
      <c r="AC49" s="1">
        <v>2.18</v>
      </c>
      <c r="AH49" s="1"/>
      <c r="CT49" s="1">
        <v>48.0</v>
      </c>
      <c r="CU49" s="6">
        <f t="shared" si="3"/>
        <v>3.35</v>
      </c>
    </row>
    <row r="50">
      <c r="Y50" s="1">
        <v>48.0</v>
      </c>
      <c r="Z50" s="6">
        <f t="shared" si="4"/>
        <v>1.96</v>
      </c>
      <c r="AA50" s="1">
        <v>2.2</v>
      </c>
      <c r="AB50" s="1">
        <v>2.2</v>
      </c>
      <c r="AC50" s="1">
        <v>2.2</v>
      </c>
      <c r="AH50" s="1"/>
      <c r="CT50" s="1">
        <v>49.0</v>
      </c>
      <c r="CU50" s="6">
        <f t="shared" si="3"/>
        <v>3.4</v>
      </c>
    </row>
    <row r="51">
      <c r="Y51" s="1">
        <v>49.0</v>
      </c>
      <c r="Z51" s="6">
        <f t="shared" si="4"/>
        <v>1.98</v>
      </c>
      <c r="AA51" s="1">
        <v>2.23</v>
      </c>
      <c r="AB51" s="1">
        <v>2.23</v>
      </c>
      <c r="AC51" s="1">
        <v>2.23</v>
      </c>
      <c r="AH51" s="1"/>
      <c r="CT51" s="1">
        <v>50.0</v>
      </c>
      <c r="CU51" s="6">
        <f t="shared" si="3"/>
        <v>3.45</v>
      </c>
    </row>
    <row r="52">
      <c r="Y52" s="1">
        <v>50.0</v>
      </c>
      <c r="Z52" s="6">
        <f t="shared" si="4"/>
        <v>2</v>
      </c>
      <c r="AA52" s="1">
        <v>2.25</v>
      </c>
      <c r="AB52" s="1">
        <v>2.25</v>
      </c>
      <c r="AC52" s="1">
        <v>2.25</v>
      </c>
      <c r="AH52" s="1"/>
    </row>
    <row r="53">
      <c r="Y53" s="1">
        <v>51.0</v>
      </c>
      <c r="Z53" s="6">
        <f t="shared" si="4"/>
        <v>2.02</v>
      </c>
      <c r="AA53" s="1">
        <v>2.28</v>
      </c>
      <c r="AB53" s="1">
        <v>2.28</v>
      </c>
      <c r="AC53" s="1">
        <v>2.28</v>
      </c>
      <c r="AH53" s="1"/>
    </row>
    <row r="54">
      <c r="Y54" s="1">
        <v>52.0</v>
      </c>
      <c r="Z54" s="6">
        <f t="shared" si="4"/>
        <v>2.04</v>
      </c>
      <c r="AA54" s="1">
        <v>2.3</v>
      </c>
      <c r="AB54" s="1">
        <v>2.3</v>
      </c>
      <c r="AC54" s="1">
        <v>2.3</v>
      </c>
      <c r="AH54" s="1"/>
    </row>
    <row r="55">
      <c r="Y55" s="1">
        <v>53.0</v>
      </c>
      <c r="Z55" s="6">
        <f t="shared" si="4"/>
        <v>2.06</v>
      </c>
      <c r="AA55" s="1">
        <v>2.33</v>
      </c>
      <c r="AB55" s="1">
        <v>2.33</v>
      </c>
      <c r="AC55" s="1">
        <v>2.33</v>
      </c>
      <c r="AH55" s="1"/>
    </row>
    <row r="56">
      <c r="Y56" s="1">
        <v>54.0</v>
      </c>
      <c r="Z56" s="6">
        <f t="shared" si="4"/>
        <v>2.08</v>
      </c>
      <c r="AA56" s="1">
        <v>2.35</v>
      </c>
      <c r="AB56" s="1">
        <v>2.35</v>
      </c>
      <c r="AC56" s="1">
        <v>2.35</v>
      </c>
      <c r="AH56" s="1"/>
    </row>
    <row r="57">
      <c r="Y57" s="1">
        <v>55.0</v>
      </c>
      <c r="Z57" s="6">
        <f t="shared" si="4"/>
        <v>2.1</v>
      </c>
      <c r="AA57" s="1">
        <v>2.38</v>
      </c>
      <c r="AB57" s="1">
        <v>2.38</v>
      </c>
      <c r="AC57" s="1">
        <v>2.38</v>
      </c>
      <c r="AH57" s="1"/>
    </row>
    <row r="58">
      <c r="Y58" s="1">
        <v>56.0</v>
      </c>
      <c r="Z58" s="6">
        <f t="shared" si="4"/>
        <v>2.12</v>
      </c>
      <c r="AA58" s="1">
        <v>2.4</v>
      </c>
      <c r="AB58" s="1">
        <v>2.4</v>
      </c>
      <c r="AC58" s="1">
        <v>2.4</v>
      </c>
      <c r="AH58" s="1"/>
    </row>
    <row r="59">
      <c r="Y59" s="1">
        <v>57.0</v>
      </c>
      <c r="Z59" s="6">
        <f t="shared" si="4"/>
        <v>2.14</v>
      </c>
      <c r="AA59" s="1">
        <v>2.43</v>
      </c>
      <c r="AB59" s="1">
        <v>2.43</v>
      </c>
      <c r="AC59" s="1">
        <v>2.43</v>
      </c>
      <c r="AH59" s="1"/>
    </row>
    <row r="60">
      <c r="Y60" s="1">
        <v>58.0</v>
      </c>
      <c r="Z60" s="6">
        <f t="shared" si="4"/>
        <v>2.16</v>
      </c>
      <c r="AA60" s="1">
        <v>2.45</v>
      </c>
      <c r="AB60" s="1">
        <v>2.45</v>
      </c>
      <c r="AC60" s="1">
        <v>2.45</v>
      </c>
      <c r="AH60" s="1"/>
    </row>
    <row r="61">
      <c r="Y61" s="1">
        <v>59.0</v>
      </c>
      <c r="Z61" s="6">
        <f t="shared" si="4"/>
        <v>2.18</v>
      </c>
      <c r="AA61" s="1">
        <v>2.48</v>
      </c>
      <c r="AB61" s="1">
        <v>2.48</v>
      </c>
      <c r="AC61" s="1">
        <v>2.48</v>
      </c>
      <c r="AH61" s="1"/>
    </row>
    <row r="62">
      <c r="Y62" s="1">
        <v>60.0</v>
      </c>
      <c r="Z62" s="6">
        <f t="shared" si="4"/>
        <v>2.2</v>
      </c>
      <c r="AA62" s="1">
        <v>2.5</v>
      </c>
      <c r="AB62" s="1">
        <v>2.5</v>
      </c>
      <c r="AC62" s="1">
        <v>2.5</v>
      </c>
      <c r="AH62" s="1"/>
    </row>
    <row r="63">
      <c r="Y63" s="1">
        <v>61.0</v>
      </c>
      <c r="Z63" s="6">
        <f t="shared" si="4"/>
        <v>2.22</v>
      </c>
      <c r="AA63" s="1">
        <v>2.53</v>
      </c>
      <c r="AB63" s="1">
        <v>2.53</v>
      </c>
      <c r="AC63" s="1">
        <v>2.53</v>
      </c>
      <c r="AH63" s="1"/>
    </row>
    <row r="64">
      <c r="Y64" s="1">
        <v>62.0</v>
      </c>
      <c r="Z64" s="6">
        <f t="shared" si="4"/>
        <v>2.24</v>
      </c>
      <c r="AA64" s="1">
        <v>2.55</v>
      </c>
      <c r="AB64" s="1">
        <v>2.55</v>
      </c>
      <c r="AC64" s="1">
        <v>2.55</v>
      </c>
      <c r="AH64" s="1"/>
    </row>
    <row r="65">
      <c r="Y65" s="1">
        <v>63.0</v>
      </c>
      <c r="Z65" s="6">
        <f t="shared" si="4"/>
        <v>2.26</v>
      </c>
      <c r="AA65" s="1">
        <v>2.58</v>
      </c>
      <c r="AB65" s="1">
        <v>2.58</v>
      </c>
      <c r="AC65" s="1">
        <v>2.58</v>
      </c>
      <c r="AH65" s="1"/>
    </row>
    <row r="66">
      <c r="Y66" s="1">
        <v>64.0</v>
      </c>
      <c r="Z66" s="6">
        <f t="shared" si="4"/>
        <v>2.28</v>
      </c>
      <c r="AA66" s="1">
        <v>2.6</v>
      </c>
      <c r="AB66" s="1">
        <v>2.6</v>
      </c>
      <c r="AC66" s="1">
        <v>2.6</v>
      </c>
      <c r="AH66" s="1"/>
    </row>
    <row r="67">
      <c r="Y67" s="1">
        <v>65.0</v>
      </c>
      <c r="Z67" s="6">
        <f t="shared" si="4"/>
        <v>2.3</v>
      </c>
      <c r="AA67" s="1">
        <v>2.63</v>
      </c>
      <c r="AB67" s="1">
        <v>2.63</v>
      </c>
      <c r="AC67" s="1">
        <v>2.63</v>
      </c>
      <c r="AH67" s="1"/>
    </row>
    <row r="68">
      <c r="Y68" s="1">
        <v>66.0</v>
      </c>
      <c r="Z68" s="6">
        <f t="shared" si="4"/>
        <v>2.32</v>
      </c>
      <c r="AA68" s="1">
        <v>2.65</v>
      </c>
      <c r="AB68" s="1">
        <v>2.65</v>
      </c>
      <c r="AC68" s="1">
        <v>2.65</v>
      </c>
      <c r="AH68" s="1"/>
    </row>
    <row r="69">
      <c r="Y69" s="1">
        <v>67.0</v>
      </c>
      <c r="Z69" s="6">
        <f t="shared" si="4"/>
        <v>2.34</v>
      </c>
      <c r="AA69" s="1">
        <v>2.68</v>
      </c>
      <c r="AB69" s="1">
        <v>2.68</v>
      </c>
      <c r="AC69" s="1">
        <v>2.68</v>
      </c>
      <c r="AH69" s="1"/>
    </row>
    <row r="70">
      <c r="Y70" s="1">
        <v>68.0</v>
      </c>
      <c r="Z70" s="6">
        <f t="shared" si="4"/>
        <v>2.36</v>
      </c>
      <c r="AA70" s="1">
        <v>2.7</v>
      </c>
      <c r="AB70" s="1">
        <v>2.7</v>
      </c>
      <c r="AC70" s="1">
        <v>2.7</v>
      </c>
      <c r="AH70" s="1"/>
    </row>
    <row r="71">
      <c r="Y71" s="1">
        <v>69.0</v>
      </c>
      <c r="Z71" s="6">
        <f t="shared" si="4"/>
        <v>2.38</v>
      </c>
      <c r="AA71" s="1">
        <v>2.73</v>
      </c>
      <c r="AB71" s="1">
        <v>2.73</v>
      </c>
      <c r="AC71" s="1">
        <v>2.73</v>
      </c>
      <c r="AH71" s="1"/>
    </row>
    <row r="72">
      <c r="Y72" s="1">
        <v>70.0</v>
      </c>
      <c r="Z72" s="6">
        <f t="shared" si="4"/>
        <v>2.4</v>
      </c>
      <c r="AA72" s="1">
        <v>2.75</v>
      </c>
      <c r="AB72" s="1">
        <v>2.75</v>
      </c>
      <c r="AC72" s="1">
        <v>2.75</v>
      </c>
      <c r="AH72" s="1"/>
    </row>
    <row r="73">
      <c r="Y73" s="1">
        <v>71.0</v>
      </c>
      <c r="Z73" s="6">
        <f t="shared" si="4"/>
        <v>2.42</v>
      </c>
      <c r="AA73" s="1">
        <v>2.78</v>
      </c>
      <c r="AB73" s="1">
        <v>2.78</v>
      </c>
      <c r="AC73" s="1">
        <v>2.78</v>
      </c>
      <c r="AH73" s="1"/>
    </row>
    <row r="74">
      <c r="Y74" s="1">
        <v>72.0</v>
      </c>
      <c r="Z74" s="6">
        <f t="shared" si="4"/>
        <v>2.44</v>
      </c>
      <c r="AA74" s="1">
        <v>2.8</v>
      </c>
      <c r="AB74" s="1">
        <v>2.8</v>
      </c>
      <c r="AC74" s="1">
        <v>2.8</v>
      </c>
      <c r="AH74" s="1"/>
    </row>
    <row r="75">
      <c r="Y75" s="1">
        <v>73.0</v>
      </c>
      <c r="Z75" s="6">
        <f t="shared" si="4"/>
        <v>2.46</v>
      </c>
      <c r="AA75" s="1">
        <v>2.83</v>
      </c>
      <c r="AB75" s="1">
        <v>2.83</v>
      </c>
      <c r="AC75" s="1">
        <v>2.83</v>
      </c>
      <c r="AH75" s="1"/>
    </row>
    <row r="76">
      <c r="Y76" s="1">
        <v>74.0</v>
      </c>
      <c r="Z76" s="6">
        <f t="shared" si="4"/>
        <v>2.48</v>
      </c>
      <c r="AA76" s="1">
        <v>2.85</v>
      </c>
      <c r="AB76" s="1">
        <v>2.85</v>
      </c>
      <c r="AC76" s="1">
        <v>2.85</v>
      </c>
      <c r="AH76" s="1"/>
    </row>
    <row r="77">
      <c r="Y77" s="1">
        <v>75.0</v>
      </c>
      <c r="Z77" s="6">
        <f t="shared" si="4"/>
        <v>2.5</v>
      </c>
      <c r="AA77" s="1">
        <v>2.88</v>
      </c>
      <c r="AB77" s="1">
        <v>2.88</v>
      </c>
      <c r="AC77" s="1">
        <v>2.88</v>
      </c>
      <c r="AH77" s="1"/>
    </row>
    <row r="78">
      <c r="Y78" s="1">
        <v>76.0</v>
      </c>
      <c r="Z78" s="6">
        <f t="shared" si="4"/>
        <v>2.52</v>
      </c>
      <c r="AA78" s="1">
        <v>2.9</v>
      </c>
      <c r="AB78" s="1">
        <v>2.9</v>
      </c>
      <c r="AC78" s="1">
        <v>2.9</v>
      </c>
      <c r="AH78" s="1"/>
    </row>
    <row r="79">
      <c r="Y79" s="1">
        <v>77.0</v>
      </c>
      <c r="Z79" s="6">
        <f t="shared" si="4"/>
        <v>2.54</v>
      </c>
      <c r="AA79" s="1">
        <v>2.93</v>
      </c>
      <c r="AB79" s="1">
        <v>2.93</v>
      </c>
      <c r="AC79" s="1">
        <v>2.93</v>
      </c>
      <c r="AH79" s="1"/>
    </row>
    <row r="80">
      <c r="Y80" s="1">
        <v>78.0</v>
      </c>
      <c r="Z80" s="6">
        <f t="shared" si="4"/>
        <v>2.56</v>
      </c>
      <c r="AA80" s="1">
        <v>2.95</v>
      </c>
      <c r="AB80" s="1">
        <v>2.95</v>
      </c>
      <c r="AC80" s="1">
        <v>2.95</v>
      </c>
      <c r="AH80" s="1"/>
    </row>
    <row r="81">
      <c r="Y81" s="1">
        <v>79.0</v>
      </c>
      <c r="Z81" s="6">
        <f t="shared" si="4"/>
        <v>2.58</v>
      </c>
      <c r="AA81" s="1">
        <v>2.98</v>
      </c>
      <c r="AB81" s="1">
        <v>2.98</v>
      </c>
      <c r="AC81" s="1">
        <v>2.98</v>
      </c>
      <c r="AH81" s="1"/>
    </row>
    <row r="82">
      <c r="Y82" s="1">
        <v>80.0</v>
      </c>
      <c r="Z82" s="6">
        <f t="shared" si="4"/>
        <v>2.6</v>
      </c>
      <c r="AA82" s="1">
        <v>3.0</v>
      </c>
      <c r="AB82" s="1">
        <v>3.0</v>
      </c>
      <c r="AC82" s="1">
        <v>3.0</v>
      </c>
      <c r="AH82" s="1"/>
    </row>
    <row r="83">
      <c r="Y83" s="1">
        <v>81.0</v>
      </c>
      <c r="Z83" s="6">
        <f t="shared" si="4"/>
        <v>2.62</v>
      </c>
      <c r="AA83" s="1">
        <v>3.03</v>
      </c>
      <c r="AB83" s="1">
        <v>3.03</v>
      </c>
      <c r="AC83" s="1">
        <v>3.03</v>
      </c>
      <c r="AH83" s="1"/>
    </row>
    <row r="84">
      <c r="Y84" s="1">
        <v>82.0</v>
      </c>
      <c r="Z84" s="6">
        <f t="shared" si="4"/>
        <v>2.64</v>
      </c>
      <c r="AA84" s="1">
        <v>3.05</v>
      </c>
      <c r="AB84" s="1">
        <v>3.05</v>
      </c>
      <c r="AC84" s="1">
        <v>3.05</v>
      </c>
      <c r="AH84" s="1"/>
    </row>
    <row r="85">
      <c r="Y85" s="1">
        <v>83.0</v>
      </c>
      <c r="Z85" s="6">
        <f t="shared" si="4"/>
        <v>2.66</v>
      </c>
      <c r="AA85" s="1">
        <v>3.08</v>
      </c>
      <c r="AB85" s="1">
        <v>3.08</v>
      </c>
      <c r="AC85" s="1">
        <v>3.08</v>
      </c>
      <c r="AH85" s="1"/>
    </row>
    <row r="86">
      <c r="Y86" s="1">
        <v>84.0</v>
      </c>
      <c r="Z86" s="6">
        <f t="shared" si="4"/>
        <v>2.68</v>
      </c>
      <c r="AA86" s="1">
        <v>3.1</v>
      </c>
      <c r="AB86" s="1">
        <v>3.1</v>
      </c>
      <c r="AC86" s="1">
        <v>3.1</v>
      </c>
      <c r="AH86" s="1"/>
    </row>
    <row r="87">
      <c r="Y87" s="1">
        <v>85.0</v>
      </c>
      <c r="Z87" s="6">
        <f t="shared" si="4"/>
        <v>2.7</v>
      </c>
      <c r="AA87" s="1">
        <v>3.13</v>
      </c>
      <c r="AB87" s="1">
        <v>3.13</v>
      </c>
      <c r="AC87" s="1">
        <v>3.13</v>
      </c>
      <c r="AH87" s="1"/>
      <c r="BI87" s="12"/>
    </row>
    <row r="88">
      <c r="Y88" s="1">
        <v>86.0</v>
      </c>
      <c r="Z88" s="6">
        <f t="shared" si="4"/>
        <v>2.72</v>
      </c>
      <c r="AA88" s="1">
        <v>3.15</v>
      </c>
      <c r="AB88" s="1">
        <v>3.15</v>
      </c>
      <c r="AC88" s="1">
        <v>3.15</v>
      </c>
      <c r="AH88" s="1"/>
    </row>
    <row r="89">
      <c r="Y89" s="1">
        <v>87.0</v>
      </c>
      <c r="Z89" s="6">
        <f t="shared" si="4"/>
        <v>2.74</v>
      </c>
      <c r="AA89" s="1">
        <v>3.18</v>
      </c>
      <c r="AB89" s="1">
        <v>3.18</v>
      </c>
      <c r="AC89" s="1">
        <v>3.18</v>
      </c>
      <c r="AH89" s="1"/>
    </row>
    <row r="90">
      <c r="Y90" s="1">
        <v>88.0</v>
      </c>
      <c r="Z90" s="6">
        <f t="shared" si="4"/>
        <v>2.76</v>
      </c>
      <c r="AA90" s="1">
        <v>3.2</v>
      </c>
      <c r="AB90" s="1">
        <v>3.2</v>
      </c>
      <c r="AC90" s="1">
        <v>3.2</v>
      </c>
      <c r="AH90" s="1"/>
    </row>
    <row r="91">
      <c r="Y91" s="1">
        <v>89.0</v>
      </c>
      <c r="Z91" s="6">
        <f t="shared" si="4"/>
        <v>2.78</v>
      </c>
      <c r="AA91" s="1">
        <v>3.23</v>
      </c>
      <c r="AB91" s="1">
        <v>3.23</v>
      </c>
      <c r="AC91" s="1">
        <v>3.23</v>
      </c>
      <c r="AH91" s="1"/>
    </row>
    <row r="92">
      <c r="Y92" s="1">
        <v>90.0</v>
      </c>
      <c r="Z92" s="6">
        <f t="shared" si="4"/>
        <v>2.8</v>
      </c>
      <c r="AA92" s="1">
        <v>3.25</v>
      </c>
      <c r="AB92" s="1">
        <v>3.25</v>
      </c>
      <c r="AC92" s="1">
        <v>3.25</v>
      </c>
      <c r="AH92" s="1"/>
    </row>
    <row r="93">
      <c r="Y93" s="1">
        <v>91.0</v>
      </c>
      <c r="Z93" s="6">
        <f t="shared" si="4"/>
        <v>2.82</v>
      </c>
      <c r="AA93" s="1">
        <v>3.28</v>
      </c>
      <c r="AB93" s="1">
        <v>3.28</v>
      </c>
      <c r="AC93" s="1">
        <v>3.28</v>
      </c>
      <c r="AH93" s="1"/>
    </row>
    <row r="94">
      <c r="Y94" s="1">
        <v>92.0</v>
      </c>
      <c r="Z94" s="6">
        <f t="shared" si="4"/>
        <v>2.84</v>
      </c>
      <c r="AA94" s="1">
        <v>3.3</v>
      </c>
      <c r="AB94" s="1">
        <v>3.3</v>
      </c>
      <c r="AC94" s="1">
        <v>3.3</v>
      </c>
    </row>
    <row r="95">
      <c r="Y95" s="1">
        <v>93.0</v>
      </c>
      <c r="Z95" s="6">
        <f t="shared" si="4"/>
        <v>2.86</v>
      </c>
      <c r="AA95" s="1">
        <v>3.33</v>
      </c>
      <c r="AB95" s="1">
        <v>3.33</v>
      </c>
      <c r="AC95" s="1">
        <v>3.33</v>
      </c>
    </row>
    <row r="96">
      <c r="Y96" s="1">
        <v>94.0</v>
      </c>
      <c r="Z96" s="6">
        <f t="shared" si="4"/>
        <v>2.88</v>
      </c>
      <c r="AA96" s="1">
        <v>3.35</v>
      </c>
      <c r="AB96" s="1">
        <v>3.35</v>
      </c>
      <c r="AC96" s="1">
        <v>3.35</v>
      </c>
    </row>
    <row r="97">
      <c r="Y97" s="1">
        <v>95.0</v>
      </c>
      <c r="Z97" s="6">
        <f t="shared" si="4"/>
        <v>2.9</v>
      </c>
      <c r="AA97" s="1">
        <v>3.38</v>
      </c>
      <c r="AB97" s="1">
        <v>3.38</v>
      </c>
      <c r="AC97" s="1">
        <v>3.38</v>
      </c>
    </row>
    <row r="98">
      <c r="Y98" s="1">
        <v>96.0</v>
      </c>
      <c r="Z98" s="6">
        <f t="shared" si="4"/>
        <v>2.92</v>
      </c>
      <c r="AA98" s="1">
        <v>3.4</v>
      </c>
      <c r="AB98" s="1">
        <v>3.4</v>
      </c>
      <c r="AC98" s="1">
        <v>3.4</v>
      </c>
    </row>
    <row r="99">
      <c r="Y99" s="1">
        <v>97.0</v>
      </c>
      <c r="Z99" s="6">
        <f t="shared" si="4"/>
        <v>2.94</v>
      </c>
      <c r="AA99" s="1">
        <v>3.43</v>
      </c>
      <c r="AB99" s="1">
        <v>3.43</v>
      </c>
      <c r="AC99" s="1">
        <v>3.43</v>
      </c>
    </row>
    <row r="100">
      <c r="Y100" s="1">
        <v>98.0</v>
      </c>
      <c r="Z100" s="6">
        <f t="shared" si="4"/>
        <v>2.96</v>
      </c>
      <c r="AA100" s="1">
        <v>3.45</v>
      </c>
      <c r="AB100" s="1">
        <v>3.45</v>
      </c>
      <c r="AC100" s="1">
        <v>3.45</v>
      </c>
    </row>
    <row r="101">
      <c r="Y101" s="1">
        <v>99.0</v>
      </c>
      <c r="Z101" s="6">
        <f t="shared" si="4"/>
        <v>2.98</v>
      </c>
      <c r="AA101" s="1">
        <v>3.48</v>
      </c>
      <c r="AB101" s="1">
        <v>3.48</v>
      </c>
      <c r="AC101" s="1">
        <v>3.48</v>
      </c>
    </row>
    <row r="102">
      <c r="Y102" s="1">
        <v>100.0</v>
      </c>
      <c r="Z102" s="6">
        <f t="shared" si="4"/>
        <v>3</v>
      </c>
      <c r="AA102" s="1">
        <v>3.5</v>
      </c>
      <c r="AB102" s="1">
        <v>3.5</v>
      </c>
      <c r="AC102" s="1">
        <v>3.5</v>
      </c>
    </row>
    <row r="105">
      <c r="AG105" s="13"/>
    </row>
  </sheetData>
  <mergeCells count="18">
    <mergeCell ref="A1:B1"/>
    <mergeCell ref="D1:K1"/>
    <mergeCell ref="M1:N1"/>
    <mergeCell ref="P1:W1"/>
    <mergeCell ref="Y1:AB1"/>
    <mergeCell ref="AD1:AE1"/>
    <mergeCell ref="AG1:AH1"/>
    <mergeCell ref="H19:I19"/>
    <mergeCell ref="CT1:CU1"/>
    <mergeCell ref="CW1:CX1"/>
    <mergeCell ref="CP9:CQ9"/>
    <mergeCell ref="AJ1:AK1"/>
    <mergeCell ref="AM1:BL1"/>
    <mergeCell ref="BX1:BY1"/>
    <mergeCell ref="CA1:CB1"/>
    <mergeCell ref="CD1:CJ1"/>
    <mergeCell ref="CL1:CN1"/>
    <mergeCell ref="CP1:CR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8.5"/>
    <col customWidth="1" min="2" max="2" width="23.25"/>
    <col customWidth="1" min="3" max="3" width="15.13"/>
    <col customWidth="1" min="5" max="5" width="14.63"/>
    <col customWidth="1" min="6" max="6" width="18.5"/>
    <col customWidth="1" min="7" max="7" width="22.88"/>
    <col customWidth="1" min="8" max="8" width="15.5"/>
    <col customWidth="1" min="9" max="9" width="16.25"/>
    <col hidden="1" min="10" max="26" width="12.63"/>
  </cols>
  <sheetData>
    <row r="1">
      <c r="A1" s="14" t="s">
        <v>179</v>
      </c>
      <c r="J1" s="3"/>
      <c r="K1" s="3"/>
      <c r="L1" s="3"/>
    </row>
    <row r="2">
      <c r="A2" s="15" t="s">
        <v>180</v>
      </c>
      <c r="E2" s="16"/>
      <c r="F2" s="15" t="s">
        <v>181</v>
      </c>
      <c r="K2" s="3"/>
      <c r="L2" s="3"/>
    </row>
    <row r="3" outlineLevel="1">
      <c r="A3" s="16"/>
      <c r="B3" s="17" t="s">
        <v>182</v>
      </c>
      <c r="C3" s="17" t="s">
        <v>183</v>
      </c>
      <c r="D3" s="17" t="s">
        <v>184</v>
      </c>
      <c r="E3" s="16"/>
      <c r="F3" s="16"/>
      <c r="G3" s="17" t="s">
        <v>182</v>
      </c>
      <c r="H3" s="17" t="s">
        <v>183</v>
      </c>
      <c r="I3" s="17" t="s">
        <v>184</v>
      </c>
    </row>
    <row r="4" outlineLevel="1">
      <c r="A4" s="17" t="s">
        <v>8</v>
      </c>
      <c r="B4" s="18">
        <v>36.0</v>
      </c>
      <c r="C4" s="17" t="s">
        <v>185</v>
      </c>
      <c r="D4" s="19">
        <f>CALCULAR(C4)</f>
        <v>34480000000</v>
      </c>
      <c r="E4" s="16"/>
      <c r="F4" s="17" t="s">
        <v>8</v>
      </c>
      <c r="G4" s="18">
        <v>36.0</v>
      </c>
      <c r="H4" s="17" t="s">
        <v>185</v>
      </c>
      <c r="I4" s="19">
        <f>CALCULAR(H4)</f>
        <v>34480000000</v>
      </c>
    </row>
    <row r="5" outlineLevel="1">
      <c r="A5" s="17" t="s">
        <v>29</v>
      </c>
      <c r="B5" s="17" t="s">
        <v>186</v>
      </c>
      <c r="C5" s="17" t="s">
        <v>187</v>
      </c>
      <c r="D5" s="19">
        <f t="shared" ref="D5:D6" si="1">TRUNC(CALCULAR(C5),2)</f>
        <v>548.35</v>
      </c>
      <c r="E5" s="16"/>
      <c r="F5" s="17" t="s">
        <v>29</v>
      </c>
      <c r="G5" s="17" t="s">
        <v>188</v>
      </c>
      <c r="H5" s="17" t="s">
        <v>187</v>
      </c>
      <c r="I5" s="19">
        <f t="shared" ref="I5:I6" si="2">TRUNC(CALCULAR(H5),2)</f>
        <v>548.35</v>
      </c>
    </row>
    <row r="6" outlineLevel="1">
      <c r="A6" s="17" t="s">
        <v>15</v>
      </c>
      <c r="B6" s="17" t="s">
        <v>189</v>
      </c>
      <c r="C6" s="17" t="s">
        <v>190</v>
      </c>
      <c r="D6" s="19">
        <f t="shared" si="1"/>
        <v>2.35</v>
      </c>
      <c r="E6" s="16"/>
      <c r="F6" s="17" t="s">
        <v>15</v>
      </c>
      <c r="G6" s="17" t="s">
        <v>189</v>
      </c>
      <c r="H6" s="17" t="s">
        <v>190</v>
      </c>
      <c r="I6" s="19">
        <f t="shared" si="2"/>
        <v>2.35</v>
      </c>
    </row>
    <row r="7" outlineLevel="1">
      <c r="A7" s="17" t="s">
        <v>32</v>
      </c>
      <c r="B7" s="17" t="s">
        <v>41</v>
      </c>
      <c r="C7" s="18">
        <v>10.0</v>
      </c>
      <c r="D7" s="19">
        <f t="shared" ref="D7:D12" si="3">CALCULAR(C7)</f>
        <v>10</v>
      </c>
      <c r="E7" s="16"/>
      <c r="F7" s="17" t="s">
        <v>32</v>
      </c>
      <c r="G7" s="17" t="s">
        <v>41</v>
      </c>
      <c r="H7" s="18">
        <v>10.0</v>
      </c>
      <c r="I7" s="19">
        <f t="shared" ref="I7:I12" si="4">CALCULAR(H7)</f>
        <v>10</v>
      </c>
    </row>
    <row r="8" outlineLevel="1">
      <c r="A8" s="16"/>
      <c r="B8" s="17" t="s">
        <v>50</v>
      </c>
      <c r="C8" s="18">
        <v>10.0</v>
      </c>
      <c r="D8" s="19">
        <f t="shared" si="3"/>
        <v>10</v>
      </c>
      <c r="E8" s="16"/>
      <c r="F8" s="16"/>
      <c r="G8" s="17" t="s">
        <v>50</v>
      </c>
      <c r="H8" s="18">
        <v>10.0</v>
      </c>
      <c r="I8" s="19">
        <f t="shared" si="4"/>
        <v>10</v>
      </c>
    </row>
    <row r="9" outlineLevel="1">
      <c r="A9" s="16"/>
      <c r="B9" s="17" t="s">
        <v>57</v>
      </c>
      <c r="C9" s="18">
        <v>4.0</v>
      </c>
      <c r="D9" s="19">
        <f t="shared" si="3"/>
        <v>4</v>
      </c>
      <c r="E9" s="16"/>
      <c r="F9" s="16"/>
      <c r="G9" s="17" t="s">
        <v>57</v>
      </c>
      <c r="H9" s="18">
        <v>4.0</v>
      </c>
      <c r="I9" s="19">
        <f t="shared" si="4"/>
        <v>4</v>
      </c>
    </row>
    <row r="10" outlineLevel="1">
      <c r="A10" s="16"/>
      <c r="B10" s="17" t="s">
        <v>62</v>
      </c>
      <c r="C10" s="18">
        <v>10.0</v>
      </c>
      <c r="D10" s="19">
        <f t="shared" si="3"/>
        <v>10</v>
      </c>
      <c r="E10" s="16"/>
      <c r="F10" s="16"/>
      <c r="G10" s="17" t="s">
        <v>62</v>
      </c>
      <c r="H10" s="18">
        <v>10.0</v>
      </c>
      <c r="I10" s="19">
        <f t="shared" si="4"/>
        <v>10</v>
      </c>
    </row>
    <row r="11" outlineLevel="1">
      <c r="A11" s="16"/>
      <c r="B11" s="17" t="s">
        <v>191</v>
      </c>
      <c r="C11" s="18">
        <v>10.0</v>
      </c>
      <c r="D11" s="19">
        <f t="shared" si="3"/>
        <v>10</v>
      </c>
      <c r="E11" s="16"/>
      <c r="F11" s="16"/>
      <c r="G11" s="17" t="s">
        <v>191</v>
      </c>
      <c r="H11" s="18">
        <v>10.0</v>
      </c>
      <c r="I11" s="19">
        <f t="shared" si="4"/>
        <v>10</v>
      </c>
    </row>
    <row r="12" outlineLevel="1">
      <c r="A12" s="16"/>
      <c r="B12" s="17" t="s">
        <v>74</v>
      </c>
      <c r="C12" s="18">
        <v>10.0</v>
      </c>
      <c r="D12" s="19">
        <f t="shared" si="3"/>
        <v>10</v>
      </c>
      <c r="E12" s="16"/>
      <c r="F12" s="16"/>
      <c r="G12" s="17" t="s">
        <v>74</v>
      </c>
      <c r="H12" s="18">
        <v>10.0</v>
      </c>
      <c r="I12" s="19">
        <f t="shared" si="4"/>
        <v>10</v>
      </c>
    </row>
    <row r="13" outlineLevel="1">
      <c r="A13" s="16"/>
      <c r="B13" s="17" t="s">
        <v>78</v>
      </c>
      <c r="C13" s="18">
        <v>10.0</v>
      </c>
      <c r="D13" s="18">
        <v>10.0</v>
      </c>
      <c r="E13" s="16"/>
      <c r="F13" s="16"/>
      <c r="G13" s="17" t="s">
        <v>78</v>
      </c>
      <c r="H13" s="18">
        <v>10.0</v>
      </c>
      <c r="I13" s="18">
        <v>10.0</v>
      </c>
    </row>
    <row r="14" outlineLevel="1">
      <c r="A14" s="17" t="s">
        <v>4</v>
      </c>
      <c r="B14" s="17" t="s">
        <v>192</v>
      </c>
      <c r="C14" s="18">
        <v>3.0</v>
      </c>
      <c r="D14" s="19">
        <f t="shared" ref="D14:D23" si="5">CALCULAR(C14)</f>
        <v>3</v>
      </c>
      <c r="E14" s="16"/>
      <c r="F14" s="17" t="s">
        <v>4</v>
      </c>
      <c r="G14" s="17" t="s">
        <v>192</v>
      </c>
      <c r="H14" s="18">
        <v>3.0</v>
      </c>
      <c r="I14" s="19">
        <f t="shared" ref="I14:I23" si="6">CALCULAR(H14)</f>
        <v>3</v>
      </c>
    </row>
    <row r="15" outlineLevel="1">
      <c r="A15" s="16"/>
      <c r="B15" s="17" t="s">
        <v>193</v>
      </c>
      <c r="C15" s="18">
        <v>3.5</v>
      </c>
      <c r="D15" s="19">
        <f t="shared" si="5"/>
        <v>3.5</v>
      </c>
      <c r="E15" s="16"/>
      <c r="F15" s="16"/>
      <c r="G15" s="17" t="s">
        <v>193</v>
      </c>
      <c r="H15" s="18">
        <v>3.5</v>
      </c>
      <c r="I15" s="19">
        <f t="shared" si="6"/>
        <v>3.5</v>
      </c>
    </row>
    <row r="16" outlineLevel="1">
      <c r="A16" s="16"/>
      <c r="B16" s="17" t="s">
        <v>194</v>
      </c>
      <c r="C16" s="18">
        <v>3.5</v>
      </c>
      <c r="D16" s="19">
        <f t="shared" si="5"/>
        <v>3.5</v>
      </c>
      <c r="E16" s="16"/>
      <c r="F16" s="16"/>
      <c r="G16" s="17" t="s">
        <v>194</v>
      </c>
      <c r="H16" s="18">
        <v>3.5</v>
      </c>
      <c r="I16" s="19">
        <f t="shared" si="6"/>
        <v>3.5</v>
      </c>
    </row>
    <row r="17" outlineLevel="1">
      <c r="A17" s="16"/>
      <c r="B17" s="17" t="s">
        <v>195</v>
      </c>
      <c r="C17" s="18">
        <v>3.5</v>
      </c>
      <c r="D17" s="19">
        <f t="shared" si="5"/>
        <v>3.5</v>
      </c>
      <c r="E17" s="16"/>
      <c r="F17" s="16"/>
      <c r="G17" s="17" t="s">
        <v>195</v>
      </c>
      <c r="H17" s="18">
        <v>3.5</v>
      </c>
      <c r="I17" s="19">
        <f t="shared" si="6"/>
        <v>3.5</v>
      </c>
    </row>
    <row r="18" outlineLevel="1">
      <c r="A18" s="17" t="s">
        <v>82</v>
      </c>
      <c r="B18" s="17" t="s">
        <v>196</v>
      </c>
      <c r="C18" s="18">
        <v>5.0</v>
      </c>
      <c r="D18" s="19">
        <f t="shared" si="5"/>
        <v>5</v>
      </c>
      <c r="E18" s="16"/>
      <c r="F18" s="17" t="s">
        <v>82</v>
      </c>
      <c r="G18" s="17" t="s">
        <v>197</v>
      </c>
      <c r="H18" s="18" t="s">
        <v>198</v>
      </c>
      <c r="I18" s="19">
        <f t="shared" si="6"/>
        <v>25</v>
      </c>
    </row>
    <row r="19" outlineLevel="1">
      <c r="A19" s="16"/>
      <c r="B19" s="17" t="s">
        <v>14</v>
      </c>
      <c r="C19" s="18">
        <v>1.75</v>
      </c>
      <c r="D19" s="19">
        <f t="shared" si="5"/>
        <v>1.75</v>
      </c>
      <c r="E19" s="16"/>
      <c r="F19" s="16"/>
      <c r="G19" s="17" t="s">
        <v>14</v>
      </c>
      <c r="H19" s="17" t="s">
        <v>199</v>
      </c>
      <c r="I19" s="19">
        <f t="shared" si="6"/>
        <v>3.0625</v>
      </c>
    </row>
    <row r="20" outlineLevel="1">
      <c r="A20" s="17" t="s">
        <v>115</v>
      </c>
      <c r="B20" s="17" t="s">
        <v>200</v>
      </c>
      <c r="C20" s="18">
        <v>1.5</v>
      </c>
      <c r="D20" s="19">
        <f t="shared" si="5"/>
        <v>1.5</v>
      </c>
      <c r="E20" s="16"/>
      <c r="F20" s="17" t="s">
        <v>115</v>
      </c>
      <c r="G20" s="17" t="s">
        <v>200</v>
      </c>
      <c r="H20" s="18" t="s">
        <v>201</v>
      </c>
      <c r="I20" s="19">
        <f t="shared" si="6"/>
        <v>2.25</v>
      </c>
    </row>
    <row r="21" outlineLevel="1">
      <c r="A21" s="17" t="s">
        <v>122</v>
      </c>
      <c r="B21" s="17" t="s">
        <v>202</v>
      </c>
      <c r="C21" s="18">
        <v>1.5</v>
      </c>
      <c r="D21" s="19">
        <f t="shared" si="5"/>
        <v>1.5</v>
      </c>
      <c r="E21" s="16"/>
      <c r="F21" s="17" t="s">
        <v>122</v>
      </c>
      <c r="G21" s="17" t="s">
        <v>202</v>
      </c>
      <c r="H21" s="18">
        <v>1.5</v>
      </c>
      <c r="I21" s="19">
        <f t="shared" si="6"/>
        <v>1.5</v>
      </c>
    </row>
    <row r="22" outlineLevel="1">
      <c r="A22" s="17" t="s">
        <v>137</v>
      </c>
      <c r="B22" s="17" t="s">
        <v>203</v>
      </c>
      <c r="C22" s="18">
        <v>645.98</v>
      </c>
      <c r="D22" s="19">
        <f t="shared" si="5"/>
        <v>645.98</v>
      </c>
      <c r="E22" s="16"/>
      <c r="F22" s="17" t="s">
        <v>137</v>
      </c>
      <c r="G22" s="17" t="s">
        <v>203</v>
      </c>
      <c r="H22" s="18">
        <v>645.98</v>
      </c>
      <c r="I22" s="19">
        <f t="shared" si="6"/>
        <v>645.98</v>
      </c>
    </row>
    <row r="23" outlineLevel="1">
      <c r="A23" s="17" t="s">
        <v>128</v>
      </c>
      <c r="B23" s="17" t="s">
        <v>204</v>
      </c>
      <c r="C23" s="18" t="s">
        <v>205</v>
      </c>
      <c r="D23" s="19">
        <f t="shared" si="5"/>
        <v>7.5</v>
      </c>
      <c r="E23" s="16"/>
      <c r="F23" s="17" t="s">
        <v>128</v>
      </c>
      <c r="G23" s="17" t="s">
        <v>204</v>
      </c>
      <c r="H23" s="18" t="s">
        <v>205</v>
      </c>
      <c r="I23" s="19">
        <f t="shared" si="6"/>
        <v>7.5</v>
      </c>
    </row>
    <row r="24" outlineLevel="1">
      <c r="A24" s="17" t="s">
        <v>135</v>
      </c>
      <c r="B24" s="17" t="s">
        <v>206</v>
      </c>
      <c r="C24" s="18" t="s">
        <v>207</v>
      </c>
      <c r="D24" s="19">
        <f>TRUNC(CALCULAR(C24),2)</f>
        <v>7.59</v>
      </c>
      <c r="E24" s="16"/>
      <c r="F24" s="17" t="s">
        <v>135</v>
      </c>
      <c r="G24" s="17" t="s">
        <v>206</v>
      </c>
      <c r="H24" s="18" t="s">
        <v>207</v>
      </c>
      <c r="I24" s="19">
        <f>TRUNC(CALCULAR(H24),2)</f>
        <v>7.59</v>
      </c>
    </row>
    <row r="25" outlineLevel="1">
      <c r="A25" s="17" t="s">
        <v>109</v>
      </c>
      <c r="B25" s="17" t="s">
        <v>208</v>
      </c>
      <c r="C25" s="18" t="s">
        <v>209</v>
      </c>
      <c r="D25" s="19">
        <f t="shared" ref="D25:D35" si="7">CALCULAR(C25)</f>
        <v>73800</v>
      </c>
      <c r="E25" s="16"/>
      <c r="F25" s="17" t="s">
        <v>109</v>
      </c>
      <c r="G25" s="17" t="s">
        <v>208</v>
      </c>
      <c r="H25" s="18" t="s">
        <v>210</v>
      </c>
      <c r="I25" s="19">
        <f t="shared" ref="I25:I35" si="8">CALCULAR(H25)</f>
        <v>94300</v>
      </c>
    </row>
    <row r="26" outlineLevel="1">
      <c r="A26" s="16"/>
      <c r="B26" s="17" t="s">
        <v>211</v>
      </c>
      <c r="C26" s="18">
        <v>1.75</v>
      </c>
      <c r="D26" s="19">
        <f t="shared" si="7"/>
        <v>1.75</v>
      </c>
      <c r="E26" s="16"/>
      <c r="F26" s="16"/>
      <c r="G26" s="17" t="s">
        <v>211</v>
      </c>
      <c r="H26" s="18">
        <v>1.75</v>
      </c>
      <c r="I26" s="19">
        <f t="shared" si="8"/>
        <v>1.75</v>
      </c>
    </row>
    <row r="27" outlineLevel="1">
      <c r="A27" s="16"/>
      <c r="B27" s="17" t="s">
        <v>212</v>
      </c>
      <c r="C27" s="18">
        <v>1.75</v>
      </c>
      <c r="D27" s="19">
        <f t="shared" si="7"/>
        <v>1.75</v>
      </c>
      <c r="E27" s="16"/>
      <c r="F27" s="16"/>
      <c r="G27" s="17" t="s">
        <v>212</v>
      </c>
      <c r="H27" s="18">
        <v>1.75</v>
      </c>
      <c r="I27" s="19">
        <f t="shared" si="8"/>
        <v>1.75</v>
      </c>
    </row>
    <row r="28" outlineLevel="1">
      <c r="A28" s="16"/>
      <c r="B28" s="17" t="s">
        <v>213</v>
      </c>
      <c r="C28" s="18">
        <v>1.75</v>
      </c>
      <c r="D28" s="19">
        <f t="shared" si="7"/>
        <v>1.75</v>
      </c>
      <c r="E28" s="16"/>
      <c r="F28" s="16"/>
      <c r="G28" s="17" t="s">
        <v>213</v>
      </c>
      <c r="H28" s="18">
        <v>1.75</v>
      </c>
      <c r="I28" s="19">
        <f t="shared" si="8"/>
        <v>1.75</v>
      </c>
    </row>
    <row r="29" outlineLevel="1">
      <c r="A29" s="17" t="s">
        <v>33</v>
      </c>
      <c r="B29" s="17" t="s">
        <v>214</v>
      </c>
      <c r="C29" s="18" t="s">
        <v>215</v>
      </c>
      <c r="D29" s="16" t="str">
        <f t="shared" si="7"/>
        <v/>
      </c>
      <c r="E29" s="16"/>
      <c r="F29" s="17" t="s">
        <v>33</v>
      </c>
      <c r="G29" s="17" t="s">
        <v>214</v>
      </c>
      <c r="H29" s="18" t="s">
        <v>215</v>
      </c>
      <c r="I29" s="16" t="str">
        <f t="shared" si="8"/>
        <v/>
      </c>
    </row>
    <row r="30" outlineLevel="1">
      <c r="A30" s="16"/>
      <c r="B30" s="17" t="s">
        <v>216</v>
      </c>
      <c r="C30" s="18" t="s">
        <v>217</v>
      </c>
      <c r="D30" s="19">
        <f t="shared" si="7"/>
        <v>3.233187403</v>
      </c>
      <c r="E30" s="16"/>
      <c r="F30" s="16"/>
      <c r="G30" s="17" t="s">
        <v>216</v>
      </c>
      <c r="H30" s="18" t="s">
        <v>217</v>
      </c>
      <c r="I30" s="19">
        <f t="shared" si="8"/>
        <v>3.233187403</v>
      </c>
    </row>
    <row r="31" outlineLevel="1">
      <c r="A31" s="16"/>
      <c r="B31" s="17" t="s">
        <v>218</v>
      </c>
      <c r="C31" s="18" t="s">
        <v>219</v>
      </c>
      <c r="D31" s="19">
        <f t="shared" si="7"/>
        <v>1.771561</v>
      </c>
      <c r="E31" s="16"/>
      <c r="F31" s="16"/>
      <c r="G31" s="17" t="s">
        <v>218</v>
      </c>
      <c r="H31" s="18" t="s">
        <v>219</v>
      </c>
      <c r="I31" s="19">
        <f t="shared" si="8"/>
        <v>1.771561</v>
      </c>
    </row>
    <row r="32" outlineLevel="1">
      <c r="A32" s="16"/>
      <c r="B32" s="17" t="s">
        <v>220</v>
      </c>
      <c r="C32" s="18" t="s">
        <v>221</v>
      </c>
      <c r="D32" s="19">
        <f t="shared" si="7"/>
        <v>1.265</v>
      </c>
      <c r="E32" s="16"/>
      <c r="F32" s="16"/>
      <c r="G32" s="17" t="s">
        <v>220</v>
      </c>
      <c r="H32" s="18" t="s">
        <v>221</v>
      </c>
      <c r="I32" s="19">
        <f t="shared" si="8"/>
        <v>1.265</v>
      </c>
    </row>
    <row r="33" outlineLevel="1">
      <c r="A33" s="16"/>
      <c r="B33" s="17" t="s">
        <v>222</v>
      </c>
      <c r="C33" s="18" t="s">
        <v>223</v>
      </c>
      <c r="D33" s="19">
        <f t="shared" si="7"/>
        <v>1.265</v>
      </c>
      <c r="E33" s="16"/>
      <c r="F33" s="16"/>
      <c r="G33" s="17" t="s">
        <v>222</v>
      </c>
      <c r="H33" s="18" t="s">
        <v>223</v>
      </c>
      <c r="I33" s="19">
        <f t="shared" si="8"/>
        <v>1.265</v>
      </c>
    </row>
    <row r="34" outlineLevel="1">
      <c r="A34" s="16"/>
      <c r="B34" s="17" t="s">
        <v>224</v>
      </c>
      <c r="C34" s="18" t="s">
        <v>225</v>
      </c>
      <c r="D34" s="19">
        <f t="shared" si="7"/>
        <v>1.8975</v>
      </c>
      <c r="E34" s="16"/>
      <c r="F34" s="16"/>
      <c r="G34" s="17" t="s">
        <v>224</v>
      </c>
      <c r="H34" s="18" t="s">
        <v>225</v>
      </c>
      <c r="I34" s="19">
        <f t="shared" si="8"/>
        <v>1.8975</v>
      </c>
    </row>
    <row r="35" outlineLevel="1">
      <c r="A35" s="16"/>
      <c r="B35" s="17" t="s">
        <v>226</v>
      </c>
      <c r="C35" s="18" t="s">
        <v>223</v>
      </c>
      <c r="D35" s="19">
        <f t="shared" si="7"/>
        <v>1.265</v>
      </c>
      <c r="E35" s="16"/>
      <c r="F35" s="16"/>
      <c r="G35" s="17" t="s">
        <v>226</v>
      </c>
      <c r="H35" s="18" t="s">
        <v>223</v>
      </c>
      <c r="I35" s="19">
        <f t="shared" si="8"/>
        <v>1.265</v>
      </c>
    </row>
    <row r="36">
      <c r="A36" s="17" t="s">
        <v>73</v>
      </c>
      <c r="B36" s="16"/>
      <c r="C36" s="16"/>
      <c r="D36" s="19">
        <f>TRUNC(PRODUCT(D30:D35),2)</f>
        <v>22</v>
      </c>
      <c r="E36" s="16"/>
      <c r="F36" s="17" t="s">
        <v>73</v>
      </c>
      <c r="G36" s="16"/>
      <c r="H36" s="16"/>
      <c r="I36" s="19">
        <f>TRUNC(PRODUCT(I30:I35),2)</f>
        <v>22</v>
      </c>
    </row>
    <row r="37">
      <c r="A37" s="17" t="s">
        <v>139</v>
      </c>
      <c r="B37" s="17" t="s">
        <v>227</v>
      </c>
      <c r="C37" s="18" t="s">
        <v>228</v>
      </c>
      <c r="D37" s="19">
        <f t="shared" ref="D37:D41" si="9">CALCULAR(C37)</f>
        <v>9</v>
      </c>
      <c r="E37" s="16"/>
      <c r="F37" s="17" t="s">
        <v>139</v>
      </c>
      <c r="G37" s="17" t="s">
        <v>227</v>
      </c>
      <c r="H37" s="18" t="s">
        <v>228</v>
      </c>
      <c r="I37" s="19">
        <f t="shared" ref="I37:I43" si="10">CALCULAR(H37)</f>
        <v>9</v>
      </c>
    </row>
    <row r="38">
      <c r="A38" s="17" t="s">
        <v>229</v>
      </c>
      <c r="B38" s="17" t="s">
        <v>230</v>
      </c>
      <c r="C38" s="18">
        <v>2.4</v>
      </c>
      <c r="D38" s="19">
        <f t="shared" si="9"/>
        <v>2.4</v>
      </c>
      <c r="E38" s="16"/>
      <c r="F38" s="17" t="s">
        <v>229</v>
      </c>
      <c r="G38" s="17" t="s">
        <v>230</v>
      </c>
      <c r="H38" s="18">
        <v>2.4</v>
      </c>
      <c r="I38" s="19">
        <f t="shared" si="10"/>
        <v>2.4</v>
      </c>
    </row>
    <row r="39" outlineLevel="1">
      <c r="A39" s="17" t="s">
        <v>231</v>
      </c>
      <c r="B39" s="17" t="s">
        <v>232</v>
      </c>
      <c r="C39" s="18">
        <v>3.5</v>
      </c>
      <c r="D39" s="19">
        <f t="shared" si="9"/>
        <v>3.5</v>
      </c>
      <c r="E39" s="16"/>
      <c r="F39" s="17" t="s">
        <v>231</v>
      </c>
      <c r="G39" s="17" t="s">
        <v>232</v>
      </c>
      <c r="H39" s="18">
        <v>3.5</v>
      </c>
      <c r="I39" s="19">
        <f t="shared" si="10"/>
        <v>3.5</v>
      </c>
    </row>
    <row r="40" outlineLevel="1">
      <c r="A40" s="17" t="s">
        <v>7</v>
      </c>
      <c r="B40" s="17" t="s">
        <v>233</v>
      </c>
      <c r="C40" s="18" t="s">
        <v>234</v>
      </c>
      <c r="D40" s="19">
        <f t="shared" si="9"/>
        <v>3.45</v>
      </c>
      <c r="E40" s="16"/>
      <c r="F40" s="17" t="s">
        <v>7</v>
      </c>
      <c r="G40" s="17" t="s">
        <v>235</v>
      </c>
      <c r="H40" s="18" t="s">
        <v>234</v>
      </c>
      <c r="I40" s="19">
        <f t="shared" si="10"/>
        <v>3.45</v>
      </c>
    </row>
    <row r="41" outlineLevel="1">
      <c r="A41" s="16" t="s">
        <v>133</v>
      </c>
      <c r="B41" s="16"/>
      <c r="C41" s="19">
        <v>1.5208749999999998</v>
      </c>
      <c r="D41" s="19">
        <f t="shared" si="9"/>
        <v>1.520875</v>
      </c>
      <c r="E41" s="16"/>
      <c r="F41" s="17" t="s">
        <v>19</v>
      </c>
      <c r="G41" s="16"/>
      <c r="H41" s="18">
        <v>1.25</v>
      </c>
      <c r="I41" s="19">
        <f t="shared" si="10"/>
        <v>1.25</v>
      </c>
    </row>
    <row r="42" outlineLevel="1">
      <c r="F42" s="17" t="s">
        <v>236</v>
      </c>
      <c r="G42" s="16"/>
      <c r="H42" s="18">
        <v>2.0</v>
      </c>
      <c r="I42" s="19">
        <f t="shared" si="10"/>
        <v>2</v>
      </c>
    </row>
    <row r="43" outlineLevel="1">
      <c r="A43" s="16"/>
      <c r="B43" s="16"/>
      <c r="C43" s="16"/>
      <c r="D43" s="16"/>
      <c r="E43" s="16"/>
      <c r="F43" s="16" t="s">
        <v>133</v>
      </c>
      <c r="G43" s="16"/>
      <c r="H43" s="18">
        <v>1.5208749999999998</v>
      </c>
      <c r="I43" s="20">
        <f t="shared" si="10"/>
        <v>1.520875</v>
      </c>
    </row>
    <row r="44">
      <c r="A44" s="16"/>
      <c r="B44" s="16"/>
      <c r="C44" s="21" t="s">
        <v>73</v>
      </c>
      <c r="D44" s="22">
        <f>PRODUCT(D4:D28,D36,D37,D38,D40,D39,D41)</f>
        <v>5.7124E+37</v>
      </c>
      <c r="E44" s="16"/>
      <c r="F44" s="16"/>
      <c r="G44" s="16"/>
      <c r="H44" s="21" t="s">
        <v>73</v>
      </c>
      <c r="I44" s="22">
        <f>PRODUCT(I4:I28,I36,I38,I40,I41,I42,I37,I39,I43)</f>
        <v>2.39504E+39</v>
      </c>
    </row>
    <row r="45">
      <c r="A45" s="16"/>
      <c r="B45" s="16"/>
      <c r="C45" s="21" t="s">
        <v>237</v>
      </c>
      <c r="D45" s="23" t="str">
        <f>FORMATAR_JOGO(D44)</f>
        <v>57,12 BA</v>
      </c>
      <c r="E45" s="16"/>
      <c r="F45" s="17"/>
      <c r="G45" s="17"/>
      <c r="H45" s="21" t="s">
        <v>237</v>
      </c>
      <c r="I45" s="23" t="str">
        <f>FORMATAR_JOGO(I44)</f>
        <v>2,40 BB</v>
      </c>
    </row>
    <row r="46">
      <c r="A46" s="24" t="s">
        <v>238</v>
      </c>
      <c r="E46" s="16"/>
      <c r="F46" s="24" t="s">
        <v>238</v>
      </c>
    </row>
    <row r="47">
      <c r="A47" s="17" t="s">
        <v>33</v>
      </c>
      <c r="B47" s="17" t="s">
        <v>239</v>
      </c>
      <c r="C47" s="16"/>
      <c r="D47" s="16"/>
      <c r="E47" s="16"/>
      <c r="F47" s="16" t="s">
        <v>33</v>
      </c>
      <c r="G47" s="17" t="s">
        <v>239</v>
      </c>
      <c r="H47" s="17"/>
      <c r="I47" s="16" t="str">
        <f t="shared" ref="I47:I49" si="11">CALCULAR(H47)</f>
        <v/>
      </c>
    </row>
    <row r="48">
      <c r="A48" s="16"/>
      <c r="B48" s="17" t="s">
        <v>240</v>
      </c>
      <c r="C48" s="17" t="s">
        <v>241</v>
      </c>
      <c r="D48" s="19">
        <f t="shared" ref="D48:D49" si="12">CALCULAR(C48)</f>
        <v>1.5</v>
      </c>
      <c r="E48" s="16"/>
      <c r="F48" s="16"/>
      <c r="G48" s="17" t="s">
        <v>240</v>
      </c>
      <c r="H48" s="17" t="s">
        <v>241</v>
      </c>
      <c r="I48" s="25">
        <f t="shared" si="11"/>
        <v>1.5</v>
      </c>
    </row>
    <row r="49">
      <c r="A49" s="16"/>
      <c r="B49" s="17" t="s">
        <v>109</v>
      </c>
      <c r="C49" s="17" t="s">
        <v>242</v>
      </c>
      <c r="D49" s="19">
        <f t="shared" si="12"/>
        <v>461442.1875</v>
      </c>
      <c r="E49" s="16"/>
      <c r="F49" s="16"/>
      <c r="G49" s="16" t="s">
        <v>109</v>
      </c>
      <c r="H49" s="16" t="s">
        <v>243</v>
      </c>
      <c r="I49" s="25">
        <f t="shared" si="11"/>
        <v>593282.8125</v>
      </c>
    </row>
    <row r="50">
      <c r="A50" s="16"/>
      <c r="B50" s="17" t="s">
        <v>73</v>
      </c>
      <c r="C50" s="16"/>
      <c r="D50" s="19">
        <f>PRODUCT(D48,D49)</f>
        <v>692163.2813</v>
      </c>
      <c r="E50" s="16"/>
      <c r="F50" s="16"/>
      <c r="G50" s="16" t="s">
        <v>73</v>
      </c>
      <c r="H50" s="16"/>
      <c r="I50" s="25">
        <f>PRODUCT(I48:I49)</f>
        <v>889924.2188</v>
      </c>
    </row>
    <row r="51">
      <c r="A51" s="16"/>
      <c r="B51" s="16"/>
      <c r="C51" s="16"/>
      <c r="D51" s="16"/>
      <c r="E51" s="16"/>
      <c r="F51" s="16"/>
      <c r="G51" s="16"/>
      <c r="H51" s="17"/>
      <c r="I51" s="16" t="str">
        <f>CALCULAR(H51)</f>
        <v/>
      </c>
    </row>
    <row r="52">
      <c r="A52" s="16"/>
      <c r="B52" s="16"/>
      <c r="C52" s="21" t="s">
        <v>73</v>
      </c>
      <c r="D52" s="26">
        <f>TRUNC(PRODUCT(D30:D35)*D50,2)*PRODUCT(D37:D41,D4:D24)</f>
        <v>9.99711E+37</v>
      </c>
      <c r="E52" s="17"/>
      <c r="F52" s="16"/>
      <c r="G52" s="16"/>
      <c r="H52" s="21" t="s">
        <v>73</v>
      </c>
      <c r="I52" s="23">
        <f>TRUNC(PRODUCT(I30:I35)*I50,2)*PRODUCT(I37:I43,I4:I24)</f>
        <v>4.21753E+39</v>
      </c>
    </row>
    <row r="53">
      <c r="A53" s="16"/>
      <c r="B53" s="16"/>
      <c r="C53" s="21" t="s">
        <v>237</v>
      </c>
      <c r="D53" s="23" t="str">
        <f>FORMATAR_JOGO(D52)</f>
        <v>99,97 BA</v>
      </c>
      <c r="E53" s="16"/>
      <c r="F53" s="17"/>
      <c r="G53" s="17"/>
      <c r="H53" s="21" t="s">
        <v>237</v>
      </c>
      <c r="I53" s="23" t="str">
        <f>FORMATAR_JOGO(I52)</f>
        <v>4,22 BB</v>
      </c>
    </row>
    <row r="54">
      <c r="A54" s="27" t="s">
        <v>244</v>
      </c>
      <c r="B54" s="27" t="s">
        <v>245</v>
      </c>
      <c r="C54" s="27"/>
      <c r="D54" s="27"/>
      <c r="E54" s="28"/>
      <c r="F54" s="28"/>
      <c r="G54" s="28"/>
      <c r="H54" s="28"/>
      <c r="I54" s="28"/>
    </row>
    <row r="55">
      <c r="A55" s="16"/>
      <c r="B55" s="16"/>
      <c r="C55" s="16"/>
      <c r="D55" s="16"/>
      <c r="E55" s="16"/>
    </row>
  </sheetData>
  <mergeCells count="5">
    <mergeCell ref="A1:I1"/>
    <mergeCell ref="A2:D2"/>
    <mergeCell ref="F2:I2"/>
    <mergeCell ref="A46:D46"/>
    <mergeCell ref="F46:I46"/>
  </mergeCells>
  <drawing r:id="rId1"/>
</worksheet>
</file>